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40" windowHeight="12480" activeTab="1"/>
  </bookViews>
  <sheets>
    <sheet name="POC排期表" sheetId="1" r:id="rId1"/>
    <sheet name="poc-项目计划" sheetId="6" r:id="rId2"/>
    <sheet name="poc-开发计划" sheetId="5" r:id="rId3"/>
    <sheet name="甘特图" sheetId="7" r:id="rId4"/>
    <sheet name="说明与口径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<sst xmlns="http://schemas.openxmlformats.org/spreadsheetml/2006/main" count="576" uniqueCount="355">
  <si>
    <t>编号</t>
  </si>
  <si>
    <t>分类(模块)</t>
  </si>
  <si>
    <t>事项分类(类型)</t>
  </si>
  <si>
    <t>功能</t>
  </si>
  <si>
    <t>需求说明</t>
  </si>
  <si>
    <t>事项明细</t>
  </si>
  <si>
    <t>优先级</t>
  </si>
  <si>
    <t>状态</t>
  </si>
  <si>
    <t>进度%</t>
  </si>
  <si>
    <t>阻塞/风险</t>
  </si>
  <si>
    <t>客户侧配合人员</t>
  </si>
  <si>
    <t>计划开始时间</t>
  </si>
  <si>
    <t>预期完成时间</t>
  </si>
  <si>
    <t>实际完成时间</t>
  </si>
  <si>
    <t>负责人</t>
  </si>
  <si>
    <t>验收标准/交付物</t>
  </si>
  <si>
    <t>备注</t>
  </si>
  <si>
    <t>项目管理</t>
  </si>
  <si>
    <t>管理</t>
  </si>
  <si>
    <t>POC启动会：冻结验收口径与分工</t>
  </si>
  <si>
    <t>排期首日把“验什么、谁来做、何时评审”定死。验收口径=规范类验收点＋交付物＋自检清单；会上同时敲定推理接口调用口径、9/30评审档期、偏离申报流程。</t>
  </si>
  <si>
    <t>①冻结验收口径
②确认规范差距清单与责任人
③与客户确认推理接口调用口径（同步返回/提交-轮询）及访问方式（IP白名单）
④锁定9/30评审会档期与偏离申报流程
⑤明确演示口径：六场景以Mock演示（真实模型未到位）</t>
  </si>
  <si>
    <t>P0</t>
  </si>
  <si>
    <t>未开始</t>
  </si>
  <si>
    <t>客户档期与偏离审批流程不明确，将冲击编号8申报与编号29评审</t>
  </si>
  <si>
    <t>动力所POC对接人（确认验收口径/调用口径/评审档期）</t>
  </si>
  <si>
    <t>9/30为国庆前最后工作日，评审为硬节点</t>
  </si>
  <si>
    <t>云资源</t>
  </si>
  <si>
    <t>采购</t>
  </si>
  <si>
    <t>阿里云ECS采购与环境初始化</t>
  </si>
  <si>
    <t>采购云服务器并打好底座：x86_64、Ubuntu 22.04、Docker＋Compose v2。规格：主服务4C8G/70GB，RAGFlow全套8C32G/≥100GB，MinerU用T4 GPU实例，带宽≥3Mbps。当前系统只在本地macOS上跑，云上环境为零。需要在阿里云上的中科方德镜像进行开发。</t>
  </si>
  <si>
    <t>①选购ECS：主服务与RAGFlow可用docker容器跑，MinerU用GPU实例
②系统初始化：Ubuntu 22.04、Docker＋Compose v2、镜像加速器
③基线设置：时区/NTP/utf8mb4
④安装运行时：Python 3.12（uv，与锁文件同版本）、Node 18+
⑤挂数据盘，规划代码/数据/日志/备份目录</t>
  </si>
  <si>
    <t>配置</t>
  </si>
  <si>
    <t>网络、安全组、HTTPS与访问控制</t>
  </si>
  <si>
    <t>公有云要收敛暴露面：只有演示入口对外，数据库和中间件端口只开VPC内网。生产HTTPS可由平台统一配置；鉴权由牵头单位平台统一设计，我方预留兼容能力。</t>
  </si>
  <si>
    <t>①绑EIP，带宽≥3Mbps并留演示余量
②安全组：仅80/443对客户出口IP白名单开放；Mock/RAGFlow/MinIO/MySQL/PG/Redis/ES端口只走内网
③nginx反向代理统一入口
⑤多实例VPC内网互通与安全组互信</t>
  </si>
  <si>
    <t>以IP:端口直连演示并在评审材料说明；白名单需客户提前给出口IP</t>
  </si>
  <si>
    <t>系统适配</t>
  </si>
  <si>
    <t>DashScope大模型开通与出网联调</t>
  </si>
  <si>
    <t>平台的LLM/VLM/知识库向量化与重排均走DashScope公网API（qwen文本系列＋qwen3-vl多模态系列，</t>
  </si>
  <si>
    <t>①开通企业版Token Plan，生成API Key，设额度告警
②配置生产环境变量（模型名/服务地址）
③ECS出网443联调：LLM/VLM/向量化/重排各实测一次
④验证降级路径：无LLM→报告降级模板；无VLM→相关入口置灰
⑤检查Key不入Git库</t>
  </si>
  <si>
    <t>规范接入</t>
  </si>
  <si>
    <t>开发</t>
  </si>
  <si>
    <t>统一Mock推理接口 /api/v1/inference 与根路径 /health</t>
  </si>
  <si>
    <t>按规范§5开发两个接口：根路径GET /health健康检查；POST /api/v1/inference统一推理接口（image、task_id必填，parameters及发动机/部件/图像/链路编号选填）。当前平台只有自有任务接口，两者均缺——这是规范接入的核心开发缺口，也是中科方德调度平台对接的接口基础。</t>
  </si>
  <si>
    <t>①新增根路径GET /health：返回状态/工具名/工具版本/模型版本，不执行完整推理
②新增POST /api/v1/inference：单图必填、task_id原样返回、parameters校验默认值与取值范围（越界→2001）、业务编号落任务元数据、trace_id透传或生成
③内部复用现有场景路由与检测流水线，成功失败均返回统一JSON外壳
④补测试用例与接口文档
⑤与动力所确认调用口径后，落实同步返回或提交-轮询</t>
  </si>
  <si>
    <t>规范要求同步返回结果与耗时，平台现有任务为后台异步执行——同步化改造范围取决于口径确认，工作量差异大</t>
  </si>
  <si>
    <t>动力所确认推理接口调用口径（同步/轮询、场景参数约定）</t>
  </si>
  <si>
    <t>统一响应外壳补齐（model_version / input / performance）</t>
  </si>
  <si>
    <t>规定响应外壳必须含tool（带模型版本）、input（图像名/宽/高）、performance（处理耗时）。当前外壳缺input、performance、model_version三项。</t>
  </si>
  <si>
    <t>①工具信息补model_version，按命中能力从能力注册表关联返回
②外壳补input图像元信息（读上传图实际尺寸）与performance端到端耗时
③核对错误响应result:null口径
④平台扩展错误码4002~4007整理为申报项
⑤前端适配新字段，不破坏现有渲染
⑥全接口回归</t>
  </si>
  <si>
    <t>—</t>
  </si>
  <si>
    <t>图像输入校验与输入错误码</t>
  </si>
  <si>
    <t>落地图像输入校验：格式、大小、分辨率、损坏图识别，对应错误码1002/1003/1004。现有校验只覆盖空文件与无图两类，格式/大小/分辨率/解码校验未闭环。</t>
  </si>
  <si>
    <t>①落地平台级校验：格式白名单（JPEG/PNG/TIFF）、解码校验（损坏图→1004）、大小上限（超限→1003）、分辨率上下限及超限行为
②确认EXIF方向处理口径并申报
③校验阈值配置化，与能力注册表输入约束一致
④落地正常/异常/边界三类样例用例
⑤补全填报表“图像输入”部分</t>
  </si>
  <si>
    <t>P1</t>
  </si>
  <si>
    <t>申报</t>
  </si>
  <si>
    <t>偏离项与外部依赖申报（GPU/公网/扩展码/Mock口径）</t>
  </si>
  <si>
    <t>基线为CPU-only、运行时不依赖公网；超出基线的必须单独申报并批准。我方需申报五类：MinerU用GPU、大模型走公网、RAGFlow全套含第三方组件、平台扩展错误码、六场景Mock演示口径。</t>
  </si>
  <si>
    <t>①整理《申报与偏离项清单》：GPU/CUDA（含降级预案）、公网依赖（DashScope四类模型）、第三方组件与许可证、扩展错误码、Mock口径与真实模型到位计划、severity等不支持字段口径
②提交牵头单位审批
③批复结论写入填报表与README
④GPU若不获批→MinerU降级CPU解析或本地预解析产物入库（联动编号19）</t>
  </si>
  <si>
    <t>全服务容器化（Dockerfile＋Compose，x86_64）</t>
  </si>
  <si>
    <t>落地部署：干净环境可复现、一条命令启动、配置走环境变量不得硬编码。当前仓库无任何Dockerfile/compose，本地靠手工多进程启动。容器镜像同时是抹平阿里云Ubuntu与中科方德NFC Server系统差异的统一交付载体（见编号10）。</t>
  </si>
  <si>
    <t>①写Dockerfile：后端（Python 3.12＋冻结依赖）、Mock服务；前端构建产物由后端托管（静态直出＋SPA回落）
②写docker-compose：后端/Mock/MySQL/PG＋pgvector/MinIO/nginx，含健康检查、重启策略、数据卷规划（RAGFlow全套独立编排）
③构建x86_64镜像，排查arm64→x86_64二进制依赖差异（OpenCV/ONNX/NumPy等）
④干净环境一键启动演练（附录C口径）
⑤清查硬编码路径：数据/规则/日志目录全部走环境变量</t>
  </si>
  <si>
    <t>适配</t>
  </si>
  <si>
    <t>中科方德适配基线与兼容性核验</t>
  </si>
  <si>
    <t>冻结适配基线，验证容器化交付物在NFC Server可部署可运行，并与调度平台敲定统一接口对接方式。</t>
  </si>
  <si>
    <t>①整理环境基线清单：OS/CPU架构/Python版本/公共依赖（服务器Python版本需求说明书注明“由项目统一基线另行确定”——待确认）
②核对依赖锁文件与系统依赖清单（OpenCV系统库/libGL/gcc运行时等）对NFC Server的兼容性
③申请NFC Server验证环境或安装介质：按容器化口径部署冒烟（目标环境容器运行时支持情况待确认；不支持则按原生依赖清单安装验证）
④确认调度平台对接方式：统一外壳/错误码/根路径/health/推理接口（编号5/6/7）＋鉴权兼容预留（§14）＋HTTPS由平台统一配置（§4）
⑤适配结论与遗留项写入评审材料</t>
  </si>
  <si>
    <t>POC期拿不到NFC Server环境/介质时只能做清单级核对，遗留至实施阶段复验；服务器Python统一基线未定</t>
  </si>
  <si>
    <t>动力所确认NFC Server验证条件、统一Python基线、调度平台对接方式</t>
  </si>
  <si>
    <t>数据库生产化：MySQL＋PostgreSQL/pgvector</t>
  </si>
  <si>
    <t>业务库用MySQL，复核断点检查点用PostgreSQL＋pgvector，全链路跑通。MySQL建表脚本已备好，但从未在真实MySQL上验证过。POC数据可重置，无存量迁移。</t>
  </si>
  <si>
    <t>①部署MySQL 8容器，执行建表脚本（能力注册/任务/文件/知识文档等表）
②业务库连接切MySQL，全接口回归，排查日期时间精度/JSON列/排序规则差异
③部署PG＋pgvector容器，切检查点库，实测复核挂起→复核→恢复的断点续跑链路
④演练运维时序：建表→能力种子初始化→启动服务
⑤连接池/超时/断线重连参数化</t>
  </si>
  <si>
    <t>SQLite→MySQL方言差异可能暴露存量隐性缺陷，回归工作量不确定</t>
  </si>
  <si>
    <t>MinIO对象存储落地</t>
  </si>
  <si>
    <t>当前未配置对象存储，文件降级本地落盘。上云部署MinIO，启用对象存储与内容寻址去重（同一文件重复上传只存一份）。存储服务代码已具备，但从未在真实MinIO上验证。</t>
  </si>
  <si>
    <t>①部署MinIO容器（与RAGFlow自带MinIO分实例分桶，避免端口/数据冲突）
②配置连接参数，自动创建媒体资产桶
③验证：去重秒传、原图/标注图/报告下载链路、启动日志确认走MinIO未降级
④初设容量与生命周期策略</t>
  </si>
  <si>
    <t>与RAGFlow自带MinIO的实例/端口冲突，需统一规划</t>
  </si>
  <si>
    <t>Mock六场景服务上云与能力端点切换</t>
  </si>
  <si>
    <t>六场景Mock工具（孔探/红外/DR/荧光/断口/金相）已按规范实现/health与/api/v1/inference，但能力注册地址全部指向本机。上云后须切到容器网络地址，否则平台调不通工具。</t>
  </si>
  <si>
    <t>①Mock服务容器化（六场景统一端口）
②能力注册的服务地址与健康检查地址切云端（compose服务名或内网IP）
③逐场景实测/health与三类样例（正常/异常/边界）
④能力健康巡检全绿，验证轮询热生效
⑤抽查下游错误码映射透传（大小/格式超限→1003/1002）</t>
  </si>
  <si>
    <t>容器网络寻址差异导致巡检标红/路由失败</t>
  </si>
  <si>
    <t>动力所确认POC以Mock口径演示</t>
  </si>
  <si>
    <t>加固</t>
  </si>
  <si>
    <t>CORS、全局日志与安全加固</t>
  </si>
  <si>
    <t>请求级日志字段（接口/耗时/结果状态/任务标识）、CORS白名单、密钥不硬编码、文件访问限制在工作目录、生产不回传堆栈。现有日志已按天滚动，但请求级字段不全、无CORS配置。</t>
  </si>
  <si>
    <t>①配置CORS白名单（演示入口域名）
②补全请求日志字段：接口/耗时/结果状态/task_id（沿用现有trace_id机制扩展）
③密钥管理：环境文件权限收紧
④文件访问限制在配置工作目录内，拒绝任意绝对路径输入
⑤生产模式错误响应不回传堆栈
⑥输出日志申报文档：路径/滚动策略/保留周期/磁盘上限</t>
  </si>
  <si>
    <t>前端UI</t>
  </si>
  <si>
    <t>新版UI主体回归、走查修复与合入主干，八个业务页面新设计语言联动改造</t>
  </si>
  <si>
    <t>UI改版（顶部导航＋AntD浅色主题＋智能体首页＋设置页），本次改版只动了布局框架与首页/设置页，助手、任务提交、任务列表、任务详情、复核、知识库、报告、看板八个业务页面未逐页改造。设计稿仅首页一张，其余页面按新设计语言（浅色/白卡/品牌蓝/圆角）延展。</t>
  </si>
  <si>
    <t xml:space="preserve">①对照设计稿逐区走查修复：首页任务发起区（字数统计/上传/快捷键）、任务编排步骤条轮询、顶栏环境徽标、用户区
②八页在新主题下核查：表格/表单/卡片/空态/状态签的对比度与密度
③页面级改造：页头与面包屑、筛选区、详情/复核双栏布局、报告页浅色适配、知识库页引用溯源展示
④助手页流式组件（活动流/思考链/终裁复核卡）在新主题下的行为与样式验证
</t>
  </si>
  <si>
    <t>其余页面无设计稿，按设计语言延展——走查口径需先内部冻结避免返工；工作量随走查深度浮动</t>
  </si>
  <si>
    <t>—（如客户有页面级设计输入，经启动会提出）</t>
  </si>
  <si>
    <t>UI云端环境适配验证（SSE/HTTPS/环境徽标）</t>
  </si>
  <si>
    <t>重点验证三件事：构建产物由后端托管、顶栏环境徽标接真实云端状态、SSE流式长连接经nginx反代与HTTPS后正常工作。</t>
  </si>
  <si>
    <t>①云端验证构建产物托管：静态直出＋SPA路由回落
②环境徽标接真实状态源：能力巡检/RAGFlow探活/大模型可用性，明细悬停展示、点击进设置页
③SSE过反向代理专项：关缓冲、读写超时、断线重连、HTTPS混合内容检查
④高延迟网络下实测首字延迟与步骤条轮询体验
⑤演示机浏览器抽查</t>
  </si>
  <si>
    <t>SSE被反向代理缓冲/超时断流——预留专项修复时间；公网延迟下流式体验下降</t>
  </si>
  <si>
    <t>知识增强</t>
  </si>
  <si>
    <t>部署</t>
  </si>
  <si>
    <t>RAGFlow全套上云与知识库重建联调</t>
  </si>
  <si>
    <t>本地RAGFlow为开发态实例，知识库与文档均为本地状态，云端须重新部署并重建。全套含服务器/执行器/MySQL/Redis/ES/MinIO，推荐8C32G，镜像约14.6GB。</t>
  </si>
  <si>
    <t>①RAGFlow全套上云部署，调优执行器并发数
②重建数据集，批量入库知识文档（检测规范/判定标准/工艺知识/案例：客户提供＋仓库样例文档兜底）
③向量化与重排接qwen3-vl系列
④验证检索/重排/页码级引用溯源链路
⑤前端知识页与会话知识召回云端联调</t>
  </si>
  <si>
    <t>ES内存冲高与大PDF解析耗时（32G规格保障）；客户知识文档延迟→以仓库样例文档先跑通演示底线</t>
  </si>
  <si>
    <t>动力所提供可入库知识文档清单与文件（非涉密口径）</t>
  </si>
  <si>
    <t>MinerU GPU解析服务部署与批量入库</t>
  </si>
  <si>
    <t>MinerU承担知识文档解析（PDF/图文），需T4 GPU/CUDA 13.0/24GB内存（《硬件配置评估》。GPU属CPU基线的偏离申报项，批复前方案存在不确定性。</t>
  </si>
  <si>
    <t>①安装验证GPU驱动＋CUDA
②部署MinerU服务，配健康检查
③打通解析→RAGFlow批量入库链路
④实测解析耗时/显存/内存，回填硬件评估“待补测”项</t>
  </si>
  <si>
    <t>GPU申报未获批或实例库存不足→降级CPU解析（慢）或本地预解析产物上传入库</t>
  </si>
  <si>
    <t>部署联调</t>
  </si>
  <si>
    <t>联调</t>
  </si>
  <si>
    <t>全链路部署联调冒烟</t>
  </si>
  <si>
    <t>单场景流水线、联合质检、会话流式、终裁复核卡</t>
  </si>
  <si>
    <t>①compose全服务启动→根路径/health→能力巡检全绿
②规范线冒烟：推理接口标准样例→外壳字段核对（input/performance/model_version）→错误码抽查
③业务线冒烟：提交任务→待复核→复核确认→报告下载
④六场景逐一跑通＋联合质检（父任务派发子任务/汇总报告）
⑤会话流式＋自然语言创建任务＋终裁复核卡
⑥异常样例：坏图/参数越界/无能力→统一错误码JSON，无HTML错误页
⑦按trace_id/task_id检索日志</t>
  </si>
  <si>
    <t>跨实例网络首次联通（后端↔Mock↔RAGFlow↔MinerU↔DashScope）为问题集中爆发期；新功能未经真实环境检验，缺陷收敛时间不确定</t>
  </si>
  <si>
    <t>真实工具接口接入（条件项，默认Mock口径）</t>
  </si>
  <si>
    <t>POC默认全Mock演示（已申报）。真实接口按“到位即替换”原则接入：任一工具开发单位真实服务到位，即替换能力注册地址并联调。</t>
  </si>
  <si>
    <t>①跟踪各工具开发单位真实服务到位情况（服务地址/填报表/测试样例/期望输出）
②到位者：替换端点→三类样例联调→结果标准化核对（缺陷/测量/分类）→判级规则适配
③未到位者：维持Mock，在偏离申报与评审材料中注明
④接入状态表进评审材料</t>
  </si>
  <si>
    <t>真实接口到位时间完全不可控（DR为本地软件桥接、荧光接口待确认）——条件项，不占关键路径</t>
  </si>
  <si>
    <t>动力所协调各工具开发单位提供真实服务地址＋填报表＋测试样例</t>
  </si>
  <si>
    <t>协作</t>
  </si>
  <si>
    <t>判级规则与严重度映射客户确认</t>
  </si>
  <si>
    <t>判级规则引擎已落地（YAML配置），但业务口径从未经客户确认。算法给不出严重度时不得伪造，应返回null并申报“不支持”。</t>
  </si>
  <si>
    <t>①整理判级规则与严重度映射表（按场景把YAML规则转成业务可读文档）
②提交动力所专业专家确认
③按反馈修订规则并回归判级节点
④不支持severity的场景申报null口径</t>
  </si>
  <si>
    <t>专家反馈周期不可控——9/18前发出文档、9/24前确认；超期则按现行规则演示并注明待确认</t>
  </si>
  <si>
    <t>动力所专业专家（判级/严重度业务口径确认）</t>
  </si>
  <si>
    <t>测试</t>
  </si>
  <si>
    <t>E2E与后端测试云端回归</t>
  </si>
  <si>
    <t>后端测试、前端单测、端到端测试。</t>
  </si>
  <si>
    <t>①pytest全量在云端执行（MySQL/PG口径）
②Playwright E2E指向云端环境（失败自动留痕迹/截图/报告）
③前端单测＋类型检查＋构建门禁按CI口径执行
④缺陷分级（阻塞/严重/一般），修复回归闭环</t>
  </si>
  <si>
    <t>会话轨用例依赖真实LLM存在波动→以确定性链路为准，LLM依赖用例允许人工复核；9/25中秋占用1个工作日</t>
  </si>
  <si>
    <t>运维保障</t>
  </si>
  <si>
    <t>可观测、备份与服务自愈</t>
  </si>
  <si>
    <t>公有云单实例无高可用，演示与验收期需运维兜底。规范“连续运行”要求批量连续任务无异常退出、失败可追踪。</t>
  </si>
  <si>
    <t>①云监控＋容器资源告警阈值（CPU/内存/磁盘/带宽）
②MySQL/PG/MinIO每日备份＋演示前手动快照
③自愈验证：容器kill后自动拉起、平台重启后复核任务断点恢复
④trace_id/task_id日志检索演练
⑤日志滚动与磁盘上限云端生效验证</t>
  </si>
  <si>
    <t>单机无HA，演示期间服务中断——靠自愈＋快照快速恢复兜底</t>
  </si>
  <si>
    <t>性能测试</t>
  </si>
  <si>
    <t>x86_64性能基准测试与硬件填报补全</t>
  </si>
  <si>
    <t>按规范实测并填报：硬件资源可量化可复现（禁止“i7以上”类模糊描述）；性能须附测试环境与图像规格，含单任务延迟Avg/P50/P95/Max、</t>
  </si>
  <si>
    <t xml:space="preserve">①写测试环境声明（ECS CPU完整型号/物理核/内存/OS/Python/框架版本）
②六场景单任务延迟Avg/P50/P95/Max实测（剔除预热5次）
③服务启动→可接受推理的初始化时间实测
</t>
  </si>
  <si>
    <t>9/25假期占1个工作日；性能不达预期需调参（工作进程/网关并发/线程数）复测</t>
  </si>
  <si>
    <t>动力所确认性能基准口径</t>
  </si>
  <si>
    <t>交付集成</t>
  </si>
  <si>
    <t>文档</t>
  </si>
  <si>
    <t>交付物材料包</t>
  </si>
  <si>
    <t>按规范整理材料包：代码、模型权重、依赖清单、README、测试图像、期望输出JSON、性能结果、第三方软件说明、技术信息填报表。</t>
  </si>
  <si>
    <t>①依赖清单：锁文件＋关键依赖用途说明
②README补生产部署章节：干净环境→一键启动→验证→停止→常见故障
③测试图像按正常/异常/边界三类编目
④期望输出：逐场景逐样例生成标准JSON归档（与图像一一对应）
⑤模型权重：Mock口径申报（真实权重不适用，写入偏离清单）
⑥POC总结报告</t>
  </si>
  <si>
    <t>汇聚多路产出（性能/申报/偏离），版本一致性风险——PM统一核对</t>
  </si>
  <si>
    <t>动力所接收填报表与交付物清单</t>
  </si>
  <si>
    <t>验收</t>
  </si>
  <si>
    <t>自检＋预验收</t>
  </si>
  <si>
    <t>评审会前提交自检清单与验收要求逐条自查，提前发现问题，避免现场卡壳。</t>
  </si>
  <si>
    <t>①不符合项当日清单化：能修的48小时内闭环，不能修的转偏离申报
②输出预验收报告</t>
  </si>
  <si>
    <t>发现不符合项过晚——9/28启动，预留2天修复窗口</t>
  </si>
  <si>
    <t>评审</t>
  </si>
  <si>
    <t>POC评审会（动力所）</t>
  </si>
  <si>
    <t>排期终点硬节点。以启动会冻结的验收口径为准：逐项演示核验，交付物与填报表提交，偏离项与Mock口径批复确认。</t>
  </si>
  <si>
    <t>①现场演示（编号28脚本，规范线＋能力线）
②逐项核验并现场记录结论
③提交交付物材料包与填报表
④通报偏离项/Mock口径/判级规则确认状态
⑤反馈纪要与实施阶段输入清单（衔接需求说明书一期范围）</t>
  </si>
  <si>
    <t>9/30为国庆长假前最后工作日，无顺延空间——提前两周锁定档期并会前一天再确认</t>
  </si>
  <si>
    <t>动力所POC负责人、专业专家、质量管理人员参会评审</t>
  </si>
  <si>
    <t>项目管理与风险跟踪（全程）</t>
  </si>
  <si>
    <t>12个可用工作日、28个事项、5~6人并行、验收硬节点，关键路径无冗余。规范对齐开发线（5/6/7）与部署线（9/11/13）必须在9/21冒烟（20）前汇合。</t>
  </si>
  <si>
    <t>①每日站会15分钟（进展/阻塞/当日目标）
②周报3期（9/18、9/24、9/30）同步客户对接人
③风险登记册滚动：GPU/公网偏离审批、x86_64兼容、推理接口口径、中科方德验证条件、客户文档与档期、LLM额度、真实接口到位、9/25假期
④变更管理：实施阶段需求（需求说明书FR项）一律登记转出，不冲击本期</t>
  </si>
  <si>
    <t>动力所POC对接人（周报接收与问题升级）</t>
  </si>
  <si>
    <t>里程碑计划</t>
  </si>
  <si>
    <t>需求-设计-开发-测试</t>
  </si>
  <si>
    <t>阶段</t>
  </si>
  <si>
    <t>里程碑名称</t>
  </si>
  <si>
    <t>2026年9月
第2个月
第3个月
第4个月
第5个月
第6个月</t>
  </si>
  <si>
    <t>需求阶段</t>
  </si>
  <si>
    <t>需求调研&amp;业需分析</t>
  </si>
  <si>
    <t>需求编写&amp;需求评审</t>
  </si>
  <si>
    <t>设计阶段</t>
  </si>
  <si>
    <t>UI设计</t>
  </si>
  <si>
    <t>流程接口设计</t>
  </si>
  <si>
    <t>环境部署</t>
  </si>
  <si>
    <t>模型、知识库等</t>
  </si>
  <si>
    <t>开发阶段</t>
  </si>
  <si>
    <t>前端开发</t>
  </si>
  <si>
    <t>全面开发联调</t>
  </si>
  <si>
    <t>后端开发</t>
  </si>
  <si>
    <t>开发联调</t>
  </si>
  <si>
    <t>系统功能联调</t>
  </si>
  <si>
    <t>测试阶段</t>
  </si>
  <si>
    <t>功能测试</t>
  </si>
  <si>
    <t>演示</t>
  </si>
  <si>
    <t>演练</t>
  </si>
  <si>
    <t>整体周期：2周</t>
  </si>
  <si>
    <t>当前时间</t>
  </si>
  <si>
    <t>一级功能</t>
  </si>
  <si>
    <t>二级功能</t>
  </si>
  <si>
    <t>三级功能</t>
  </si>
  <si>
    <t>责任人</t>
  </si>
  <si>
    <t>计划开始</t>
  </si>
  <si>
    <t>计划完成</t>
  </si>
  <si>
    <t>预计
用时</t>
  </si>
  <si>
    <t>剩余
时间</t>
  </si>
  <si>
    <t>进度</t>
  </si>
  <si>
    <t>日期</t>
  </si>
  <si>
    <t>需求</t>
  </si>
  <si>
    <t>需求分析</t>
  </si>
  <si>
    <t>功能1</t>
  </si>
  <si>
    <t>运维1</t>
  </si>
  <si>
    <t>功能2</t>
  </si>
  <si>
    <t>产品部署</t>
  </si>
  <si>
    <t>poc环境</t>
  </si>
  <si>
    <t>设计</t>
  </si>
  <si>
    <t>基础功能</t>
  </si>
  <si>
    <t>xxx</t>
  </si>
  <si>
    <t>UI设计1</t>
  </si>
  <si>
    <t>xxx功能</t>
  </si>
  <si>
    <t>技术经理1</t>
  </si>
  <si>
    <t>前端开发联调</t>
  </si>
  <si>
    <t>前端开发1</t>
  </si>
  <si>
    <t>核心高频交易</t>
  </si>
  <si>
    <t>接口开发联调</t>
  </si>
  <si>
    <t>xxx交易</t>
  </si>
  <si>
    <t>后端开发1</t>
  </si>
  <si>
    <t>案例编写</t>
  </si>
  <si>
    <t>测试1</t>
  </si>
  <si>
    <t>进行中</t>
  </si>
  <si>
    <t>9/14</t>
  </si>
  <si>
    <t>9/15</t>
  </si>
  <si>
    <t>9/16</t>
  </si>
  <si>
    <t>9/17</t>
  </si>
  <si>
    <t>9/18</t>
  </si>
  <si>
    <t>9/19</t>
  </si>
  <si>
    <t>9/20</t>
  </si>
  <si>
    <t>9/21</t>
  </si>
  <si>
    <t>9/22</t>
  </si>
  <si>
    <t>9/23</t>
  </si>
  <si>
    <t>9/24</t>
  </si>
  <si>
    <t>9/25</t>
  </si>
  <si>
    <t>9/26</t>
  </si>
  <si>
    <t>9/27</t>
  </si>
  <si>
    <t>9/28</t>
  </si>
  <si>
    <t>9/29</t>
  </si>
  <si>
    <t>9/30</t>
  </si>
  <si>
    <t>一</t>
  </si>
  <si>
    <t>二</t>
  </si>
  <si>
    <t>三</t>
  </si>
  <si>
    <t>四</t>
  </si>
  <si>
    <t>五</t>
  </si>
  <si>
    <t>六</t>
  </si>
  <si>
    <t>日</t>
  </si>
  <si>
    <t>节</t>
  </si>
  <si>
    <t>POC 启动会:接入验收口径与排期冻结</t>
  </si>
  <si>
    <t>项目经理</t>
  </si>
  <si>
    <t>阿里云 ECS 采购与基础环境初始化</t>
  </si>
  <si>
    <t>运维工程师</t>
  </si>
  <si>
    <t>网络、安全组、HTTPS 与访问控制</t>
  </si>
  <si>
    <t>DashScope LLM/VLM 开通与出网联调</t>
  </si>
  <si>
    <t>后端工程师</t>
  </si>
  <si>
    <t>统一推理接口 /api/v1/inference + 根路径 /health</t>
  </si>
  <si>
    <t>统一外壳补齐:model_version / input / performance</t>
  </si>
  <si>
    <t>图像输入规范校验(§6)与输入错误码落地</t>
  </si>
  <si>
    <t>偏离项与外部依赖申报审批(GPU/公网/扩展码/Mock口径)</t>
  </si>
  <si>
    <t>项目经理+后端工程师</t>
  </si>
  <si>
    <t>全服务容器化(Dockerfile + Compose,x86_64)</t>
  </si>
  <si>
    <t>后端工程师+运维工程师</t>
  </si>
  <si>
    <t>数据库生产化:MySQL + PostgreSQL/pgvector</t>
  </si>
  <si>
    <t>MinIO 对象存储落地</t>
  </si>
  <si>
    <t>Mock 六场景服务上云与能力种子端点切换</t>
  </si>
  <si>
    <t>CORS/全局日志(§12字段)/安全加固(§14)</t>
  </si>
  <si>
    <t>新版 UI 主体回归、走查修复与合入主干</t>
  </si>
  <si>
    <t>前端工程师</t>
  </si>
  <si>
    <t>八个业务页面新设计语言联动改造</t>
  </si>
  <si>
    <t>RAGFlow 全套上云与知识库重建联调</t>
  </si>
  <si>
    <t>运维工程师+后端工程师</t>
  </si>
  <si>
    <t>MinerU GPU 解析服务部署与批量入库链路</t>
  </si>
  <si>
    <t>UI 云端环境适配与验证(SSE/HTTPS/环境徽标)</t>
  </si>
  <si>
    <t>全链路部署联调冒烟(外部环境联调)</t>
  </si>
  <si>
    <t>后端工程师+测试工程师</t>
  </si>
  <si>
    <t>真实工具接口接入(条件项,默认 Mock 口径)</t>
  </si>
  <si>
    <t>E2E 与后端测试云端回归</t>
  </si>
  <si>
    <t>测试工程师</t>
  </si>
  <si>
    <t>x86_64 性能基准测试(§10/§11)与硬件填报补全</t>
  </si>
  <si>
    <t>§15 九项交付物材料包</t>
  </si>
  <si>
    <t>后端工程师+项目经理</t>
  </si>
  <si>
    <t>附录C自检 + §16验收内预验收</t>
  </si>
  <si>
    <t>测试工程师+项目经理</t>
  </si>
  <si>
    <t>POC 演示准备与两轮彩排</t>
  </si>
  <si>
    <t>全员(项目经理牵头)</t>
  </si>
  <si>
    <t>POC 评审会(动力所)</t>
  </si>
  <si>
    <t>项目管理与风险跟踪(全程)</t>
  </si>
  <si>
    <t>里程碑</t>
  </si>
  <si>
    <t>◆</t>
  </si>
  <si>
    <t>◆9/18:M1 规范对齐开发+系统适配完成(容器口径一键启动,inference/health/外壳自测通过)  |  ◆9/23:M2 云端全服务部署+知识链路+UI云适配完成  |  ◆9/24:M3 全链路冒烟通过(§16逐条),具备演示条件  |  ◆9/25:M4 云端回归+运维保障完成  |  ◆9/29:M5 性能复测+交付物包+预验收+彩排完成,环境冻结  |  ◆9/30:M6 POC评审验收(动力所)</t>
  </si>
  <si>
    <t>图例:</t>
  </si>
  <si>
    <t>灰列=周末;9/25「节」=中秋节法定假日(以国务院办公厅2026年放假安排为准);◆=里程碑</t>
  </si>
  <si>
    <t>智能质检 Agent 系统 POC 排期说明 V2(阿里云公有服务器部署)</t>
  </si>
  <si>
    <t>一、排期口径与范围界定</t>
  </si>
  <si>
    <t>排期范围</t>
  </si>
  <si>
    <t>2026-09-14(周一)~2026-09-30(周三),17个自然日/13个工作日(扣除9/25中秋假日约12个可用)。</t>
  </si>
  <si>
    <t>POC 目标</t>
  </si>
  <si>
    <t>按《动力所工业图像智能算法工具统一API接入规范V1.0》完成当前系统的服务化接入(统一推理接口/健康检查/响应外壳/错误码/版本追溯/图像输入规范/日志可观测/性能基准/交付物/偏离申报),部署至阿里云公有服务器(x86_64/Ubuntu 22.04/Docker),并通过规范§16验收口径的演示评审。</t>
  </si>
  <si>
    <t>范围界定(重要)</t>
  </si>
  <si>
    <t>《工业图像智能检测智能体需求说明书》一期功能(FR-HOME/FR-CHAT/FR-TASK/FR-INT/FR-PRO/FR-SKILL/FR-SYS等)属实施阶段建设范围,不列入本POC排期;本期仅覆盖:①规范接入对齐开发 ②本地→阿里云的系统适配 ③云端部署与联调 ④今日UI改造(feat/new-ui分支)收尾与联动 ⑤性能/交付物/验收演示。实施阶段另行排期(可衔接docs/需求对齐差距分析与人力评估.md)。</t>
  </si>
  <si>
    <t>状态与进度口径</t>
  </si>
  <si>
    <t>依据git提交记录与代码现状排布,不默认「已完成」:已提交≠已验收。feat/new-ui(dc3906f,9/9提交)按占UI改造全范围约30%计「进行中」;其余事项均「未开始」。各行「需求说明」列附代码证据(文件:行号/README里程碑待落地项/提交号),工作量按缺口实况估算。</t>
  </si>
  <si>
    <t>节假日</t>
  </si>
  <si>
    <t>9/25(五)中秋节法定假日(以国务院办公厅2026年放假安排为准,相关行已预留弹性);9/19-20、9/26-27周末;10/1起国庆长假——9/30评审为硬节点,无顺延空间。</t>
  </si>
  <si>
    <t>二、现状与缺口基线(排期依据)</t>
  </si>
  <si>
    <t>代码实况</t>
  </si>
  <si>
    <t>系统当前仅本地macOS(arm64)运行:SQLite+SQLite断点、MinIO未启用(降级本地落盘)、RAGFlow本地开发实例、六场景能力种子全部指向127.0.0.1:8002的Mock(真实模型未到位);仓库无Dockerfile/compose;无CORS配置;请求日志缺耗时/结果状态字段。</t>
  </si>
  <si>
    <t>规范对照缺口</t>
  </si>
  <si>
    <t>①无根路径GET /health(现为/api/v1/health且缺model_version);②无POST /api/v1/inference(现/api/v1/tasks,字段files/scene与规范image/task_id/engine_id等不一致);③外壳缺input与performance必填字段(response.py),ToolInfo缺model_version;④图像输入校验仅空文件/无图两类,格式/大小/分辨率/解码校验未闭环(validate.py);⑤GPU(MinerU T4+CUDA13)与公网(DashScope)依赖未按§4申报批准;⑥扩展错误码4002~4007未申报;⑦§15交付物(期望输出JSON/关键依赖用途说明/第三方许可/填报表)未成包。</t>
  </si>
  <si>
    <t>在途工作(提交记录)</t>
  </si>
  <si>
    <t>近三周密集落地且未经外部环境检验的功能:joint联合轨(8/25,17c363a)、会话SSE真流式协议(9/1,8e64b46)、终裁复核卡(8/27,353a2f3)、LangGraph Studio可视化(8/27,ba59d83)、E2E套件(8/28,e94fd03)、UI全面改版(9/9,dc3906f)——全部纳入云端联调与回归范围(编号19/22),不视为已完成。</t>
  </si>
  <si>
    <t>README里程碑待落地</t>
  </si>
  <si>
    <t>M2:模型容器化封装、知识增强全链路(RAGFlow联调+MinerU批量入库);M3:已到位模型接入、判级规则客户确认、外部环境联调;M4:MySQL切换、MinIO落地、CORS/全局日志、观测/留痕——分别对应编号9/16/17/20/21/19/10/11/13。</t>
  </si>
  <si>
    <t>三、团队配置(峰值5~6人)</t>
  </si>
  <si>
    <t>项目经理(PM)</t>
  </si>
  <si>
    <t>1人,全程:启动对齐、偏离申报、判级确认驱动、风险跟踪、演示与评审组织、交付物核对。</t>
  </si>
  <si>
    <t>后端/智能体工程师</t>
  </si>
  <si>
    <t>1~2人,全程:规范接入开发(inference/health/外壳/图像校验)、容器化、MySQL/PG/MinIO、mock上云、CORS/日志/安全、联调、性能。</t>
  </si>
  <si>
    <t>1人:UI主体回归合并(编号14)、八页联动改造(编号15)、云端适配(编号18)。</t>
  </si>
  <si>
    <t>运维/部署工程师</t>
  </si>
  <si>
    <t>1人:ECS/网络/HTTPS、RAGFlow全套、MinerU GPU、可观测与备份。</t>
  </si>
  <si>
    <t>1人(9/21起为主):冒烟、云端回归、预验收、性能与稳定性测试。</t>
  </si>
  <si>
    <t>四、里程碑</t>
  </si>
  <si>
    <t>M1|9/18(五)</t>
  </si>
  <si>
    <t>规范对齐开发+系统适配完成:inference/health/外壳/图像校验自测通过;容器化+MySQL/PG+MinIO+mock上云+CORS/日志在容器口径一键启动。</t>
  </si>
  <si>
    <t>M2|9/23(二)</t>
  </si>
  <si>
    <t>云端全服务部署完成:RAGFlow知识链路+MinerU+UI云端适配就绪。</t>
  </si>
  <si>
    <t>M3|9/24(三)</t>
  </si>
  <si>
    <t>全链路冒烟通过(对照§16逐条),云环境具备演示条件。</t>
  </si>
  <si>
    <t>M4|9/25(五)</t>
  </si>
  <si>
    <t>云端回归测试+运维保障完成(受中秋假期影响预留弹性至9/28)。</t>
  </si>
  <si>
    <t>M5|9/29(二)</t>
  </si>
  <si>
    <t>性能复测+§15交付物包+附录C/§16预验收+两轮彩排完成,环境冻结。</t>
  </si>
  <si>
    <t>M6|9/30(三)</t>
  </si>
  <si>
    <t>POC评审会(动力所):§16逐项核验、交付物提交、验收结论与实施阶段输入清单。</t>
  </si>
  <si>
    <t>五、关键路径与Top风险</t>
  </si>
  <si>
    <t>关键路径</t>
  </si>
  <si>
    <t>编号2(ECS)→9(容器化)→10(MySQL/PG)→19(全链路冒烟)→22(云端回归)→27(彩排)→28(评审);规范对齐线5→6→7须于9/21前汇入19;知识线16→17须于9/23前就绪。</t>
  </si>
  <si>
    <t>R1 偏离审批</t>
  </si>
  <si>
    <t>GPU(MinerU)与公网(DashScope)依赖申报未获批→知识链路降级预案(CPU解析/预解析产物);9/15前提交申报(编号8)。</t>
  </si>
  <si>
    <t>R2 推理接口口径</t>
  </si>
  <si>
    <t>规范要求同步返回result+performance,平台现为异步任务——同步化范围待启动会与客户确认(编号5),口径不同工作量差异大。</t>
  </si>
  <si>
    <t>R3 x86_64兼容</t>
  </si>
  <si>
    <t>arm64→x86_64二进制依赖差异(opencv/onnx等)→本地构建x86镜像推ACR提前验证(编号9)。</t>
  </si>
  <si>
    <t>R4 客户侧输入</t>
  </si>
  <si>
    <t>知识文档、出口IP、判级确认、评审档期、真实工具接口到位时间均依赖客户→启动会一次锁定,周报跟踪(编号1/3/20/21)。</t>
  </si>
  <si>
    <t>R5 ICP备案</t>
  </si>
  <si>
    <t>备案周期1~2周期内不可得→IP:端口白名单直连演示,评审材料说明(编号3)。</t>
  </si>
  <si>
    <t>R6 新功能稳定性</t>
  </si>
  <si>
    <t>近两周密集落地的功能(joint/SSE/复核卡/新UI)未经外部环境检验,冒烟与回归缺陷收敛时间不确定→9/21-9/25集中预留排查缓冲,每日站会跟踪。</t>
  </si>
  <si>
    <t>六、依据材料</t>
  </si>
  <si>
    <t>POC需求基线</t>
  </si>
  <si>
    <t>docs/(公开)动力所工业图像智能算法工具统一API接入规范_V1.0.md(本排期唯一需求基线:§4技术基线/§5接口/§6图像输入/§7外壳/§8错误码/§9环境依赖/§10硬件/§11性能/§12日志/§13部署/§14安全/§15交付物/§16验收/§17版本/附录C自检)。</t>
  </si>
  <si>
    <t>资源基线</t>
  </si>
  <si>
    <t>docs/硬件配置评估.md(V1.1:x86_64阿里云POC→客户内网;主服务4C8G、RAGFlow 8C32G、MinerU T4+CUDA13.0;含「待复测/待补测」项→编号24回填)。</t>
  </si>
  <si>
    <t>代码与提交基线</t>
  </si>
  <si>
    <t>当前代码库feat/new-ui分支(dc3906f,2026-09-09)及8/21~9/9提交记录;README§8快速开始/§11里程碑M1-M4/§12测试体系;代码对照:app/core/response.py、errors.py、middleware.py、logger.py、app/api/v1/health.py、task.py、app/agents/nodes/validate.py、scripts/sync_capabilities.py、mock_service/main.py、frontend/src/api/http.ts、sessions.ts。</t>
  </si>
  <si>
    <t>实施阶段基线(仅背景)</t>
  </si>
  <si>
    <t>docs/原始材料/工业图像智能检测智能体需求说明书.docx——其一期功能范围属实施阶段建设内容,不在本POC排期内;docs/需求对齐差距分析与人力评估.md供实施阶段排期衔接。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</si>
</sst>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53">
    <font>
      <sz val="11"/>
      <color theme="1"/>
      <name val="宋体"/>
      <charset val="134"/>
      <scheme val="minor"/>
    </font>
    <font>
      <b/>
      <sz val="12"/>
      <color rgb="FF1F4E79"/>
      <name val="微软雅黑"/>
      <charset val="134"/>
    </font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9.5"/>
      <name val="微软雅黑"/>
      <charset val="134"/>
    </font>
    <font>
      <sz val="9.5"/>
      <name val="微软雅黑"/>
      <charset val="134"/>
    </font>
    <font>
      <b/>
      <sz val="8"/>
      <color rgb="FFFFFFFF"/>
      <name val="微软雅黑"/>
      <charset val="134"/>
    </font>
    <font>
      <b/>
      <sz val="8"/>
      <color rgb="FFC00000"/>
      <name val="微软雅黑"/>
      <charset val="134"/>
    </font>
    <font>
      <sz val="8.5"/>
      <name val="微软雅黑"/>
      <charset val="134"/>
    </font>
    <font>
      <b/>
      <sz val="9"/>
      <name val="微软雅黑"/>
      <charset val="134"/>
    </font>
    <font>
      <b/>
      <sz val="10"/>
      <color rgb="FFC00000"/>
      <name val="微软雅黑"/>
      <charset val="134"/>
    </font>
    <font>
      <sz val="8"/>
      <color rgb="FF7F6000"/>
      <name val="微软雅黑"/>
      <charset val="134"/>
    </font>
    <font>
      <b/>
      <sz val="8.5"/>
      <name val="微软雅黑"/>
      <charset val="134"/>
    </font>
    <font>
      <sz val="8"/>
      <name val="微软雅黑"/>
      <charset val="134"/>
    </font>
    <font>
      <sz val="8"/>
      <color rgb="FF808080"/>
      <name val="微软雅黑"/>
      <charset val="134"/>
    </font>
    <font>
      <b/>
      <sz val="10"/>
      <color rgb="FF00B050"/>
      <name val="SimSun"/>
      <charset val="134"/>
    </font>
    <font>
      <b/>
      <sz val="10"/>
      <color rgb="FFFF0000"/>
      <name val="SimSun"/>
      <charset val="134"/>
    </font>
    <font>
      <b/>
      <sz val="10"/>
      <name val="SimSun"/>
      <charset val="134"/>
    </font>
    <font>
      <b/>
      <sz val="10"/>
      <color rgb="FF000000"/>
      <name val="SimSun"/>
      <charset val="134"/>
    </font>
    <font>
      <b/>
      <sz val="11"/>
      <color rgb="FF000000"/>
      <name val="宋体"/>
      <charset val="134"/>
      <scheme val="major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b/>
      <sz val="14"/>
      <color rgb="FF000000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0"/>
      <color rgb="FF000000"/>
      <name val="微软雅黑"/>
      <charset val="134"/>
    </font>
    <font>
      <sz val="9"/>
      <name val="微软雅黑"/>
      <charset val="134"/>
    </font>
    <font>
      <b/>
      <sz val="9"/>
      <color rgb="FF9C0006"/>
      <name val="微软雅黑"/>
      <charset val="134"/>
    </font>
    <font>
      <sz val="9"/>
      <color rgb="FF595959"/>
      <name val="微软雅黑"/>
      <charset val="134"/>
    </font>
    <font>
      <b/>
      <sz val="9"/>
      <color rgb="FF9C65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4A90D9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8E8E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A623"/>
        <bgColor indexed="64"/>
      </patternFill>
    </fill>
    <fill>
      <patternFill patternType="solid">
        <fgColor rgb="FFD81B60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2C7E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DDED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DCAE6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4" borderId="23" applyNumberFormat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45" fillId="35" borderId="25" applyNumberFormat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8" borderId="0" applyNumberFormat="0" applyBorder="0" applyAlignment="0" applyProtection="0">
      <alignment vertical="center"/>
    </xf>
    <xf numFmtId="0" fontId="51" fillId="59" borderId="0" applyNumberFormat="0" applyBorder="0" applyAlignment="0" applyProtection="0">
      <alignment vertical="center"/>
    </xf>
  </cellStyleXfs>
  <cellXfs count="114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2" borderId="0" xfId="0" applyFont="1" applyFill="1" applyAlignment="1">
      <alignment vertical="center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2" fillId="5" borderId="1" xfId="0" applyFont="1" applyFill="1" applyBorder="1" applyAlignment="1"/>
    <xf numFmtId="0" fontId="2" fillId="0" borderId="1" xfId="0" applyFont="1" applyFill="1" applyBorder="1" applyAlignment="1"/>
    <xf numFmtId="0" fontId="2" fillId="6" borderId="1" xfId="0" applyFont="1" applyFill="1" applyBorder="1" applyAlignment="1"/>
    <xf numFmtId="0" fontId="2" fillId="7" borderId="1" xfId="0" applyFont="1" applyFill="1" applyBorder="1" applyAlignment="1"/>
    <xf numFmtId="0" fontId="2" fillId="2" borderId="1" xfId="0" applyFont="1" applyFill="1" applyBorder="1" applyAlignment="1"/>
    <xf numFmtId="0" fontId="2" fillId="8" borderId="1" xfId="0" applyFont="1" applyFill="1" applyBorder="1" applyAlignment="1"/>
    <xf numFmtId="0" fontId="2" fillId="9" borderId="1" xfId="0" applyFont="1" applyFill="1" applyBorder="1" applyAlignment="1"/>
    <xf numFmtId="0" fontId="2" fillId="10" borderId="1" xfId="0" applyFont="1" applyFill="1" applyBorder="1" applyAlignment="1"/>
    <xf numFmtId="0" fontId="2" fillId="11" borderId="1" xfId="0" applyFont="1" applyFill="1" applyBorder="1" applyAlignment="1"/>
    <xf numFmtId="0" fontId="2" fillId="12" borderId="1" xfId="0" applyFont="1" applyFill="1" applyBorder="1" applyAlignment="1"/>
    <xf numFmtId="0" fontId="2" fillId="13" borderId="1" xfId="0" applyFont="1" applyFill="1" applyBorder="1" applyAlignment="1"/>
    <xf numFmtId="0" fontId="2" fillId="14" borderId="1" xfId="0" applyFont="1" applyFill="1" applyBorder="1" applyAlignment="1"/>
    <xf numFmtId="0" fontId="2" fillId="15" borderId="1" xfId="0" applyFont="1" applyFill="1" applyBorder="1" applyAlignment="1"/>
    <xf numFmtId="0" fontId="9" fillId="0" borderId="0" xfId="0" applyFont="1" applyFill="1" applyAlignment="1"/>
    <xf numFmtId="0" fontId="2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top" wrapText="1"/>
    </xf>
    <xf numFmtId="0" fontId="12" fillId="0" borderId="0" xfId="0" applyFont="1" applyFill="1" applyAlignment="1"/>
    <xf numFmtId="0" fontId="13" fillId="0" borderId="0" xfId="0" applyFont="1" applyFill="1" applyAlignment="1"/>
    <xf numFmtId="0" fontId="14" fillId="0" borderId="0" xfId="0" applyFont="1" applyFill="1" applyAlignment="1"/>
    <xf numFmtId="0" fontId="0" fillId="0" borderId="0" xfId="0" applyAlignment="1">
      <alignment horizontal="center"/>
    </xf>
    <xf numFmtId="0" fontId="15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left"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18" fillId="17" borderId="3" xfId="0" applyFont="1" applyFill="1" applyBorder="1" applyAlignment="1">
      <alignment horizontal="center" vertical="center" wrapText="1"/>
    </xf>
    <xf numFmtId="0" fontId="18" fillId="17" borderId="4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4" fontId="21" fillId="0" borderId="5" xfId="0" applyNumberFormat="1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1" fillId="18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18" borderId="5" xfId="0" applyFont="1" applyFill="1" applyBorder="1" applyAlignment="1">
      <alignment horizontal="center" vertical="center" wrapText="1"/>
    </xf>
    <xf numFmtId="14" fontId="23" fillId="0" borderId="4" xfId="0" applyNumberFormat="1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14" fontId="21" fillId="0" borderId="4" xfId="0" applyNumberFormat="1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vertical="center"/>
    </xf>
    <xf numFmtId="14" fontId="24" fillId="0" borderId="4" xfId="0" applyNumberFormat="1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vertical="center"/>
    </xf>
    <xf numFmtId="0" fontId="26" fillId="19" borderId="2" xfId="0" applyFont="1" applyFill="1" applyBorder="1" applyAlignment="1">
      <alignment horizontal="left" vertical="center" wrapText="1"/>
    </xf>
    <xf numFmtId="0" fontId="26" fillId="19" borderId="2" xfId="0" applyFont="1" applyFill="1" applyBorder="1" applyAlignment="1" applyProtection="1">
      <alignment horizontal="left" vertical="center" wrapText="1"/>
    </xf>
    <xf numFmtId="0" fontId="26" fillId="20" borderId="7" xfId="0" applyFont="1" applyFill="1" applyBorder="1" applyAlignment="1" applyProtection="1">
      <alignment horizontal="center" vertical="center" wrapText="1"/>
    </xf>
    <xf numFmtId="0" fontId="26" fillId="20" borderId="8" xfId="0" applyFont="1" applyFill="1" applyBorder="1" applyAlignment="1" applyProtection="1">
      <alignment horizontal="center" vertical="center" wrapText="1"/>
    </xf>
    <xf numFmtId="0" fontId="26" fillId="20" borderId="9" xfId="0" applyFont="1" applyFill="1" applyBorder="1" applyAlignment="1" applyProtection="1">
      <alignment horizontal="center" vertical="center" wrapText="1"/>
    </xf>
    <xf numFmtId="0" fontId="27" fillId="20" borderId="2" xfId="0" applyFont="1" applyFill="1" applyBorder="1" applyAlignment="1" applyProtection="1">
      <alignment horizontal="center" vertical="center" wrapText="1"/>
    </xf>
    <xf numFmtId="57" fontId="28" fillId="20" borderId="7" xfId="0" applyNumberFormat="1" applyFont="1" applyFill="1" applyBorder="1" applyAlignment="1" applyProtection="1">
      <alignment horizontal="center" vertical="center" wrapText="1"/>
    </xf>
    <xf numFmtId="57" fontId="28" fillId="20" borderId="8" xfId="0" applyNumberFormat="1" applyFont="1" applyFill="1" applyBorder="1" applyAlignment="1" applyProtection="1">
      <alignment horizontal="center" vertical="center" wrapText="1"/>
    </xf>
    <xf numFmtId="57" fontId="28" fillId="20" borderId="9" xfId="0" applyNumberFormat="1" applyFont="1" applyFill="1" applyBorder="1" applyAlignment="1" applyProtection="1">
      <alignment horizontal="center" vertical="center" wrapText="1"/>
    </xf>
    <xf numFmtId="0" fontId="27" fillId="21" borderId="2" xfId="0" applyFont="1" applyFill="1" applyBorder="1" applyAlignment="1" applyProtection="1">
      <alignment horizontal="center" vertical="center" wrapText="1"/>
    </xf>
    <xf numFmtId="0" fontId="29" fillId="0" borderId="2" xfId="0" applyFont="1" applyFill="1" applyBorder="1" applyAlignment="1" applyProtection="1">
      <alignment horizontal="center" vertical="center" wrapText="1"/>
    </xf>
    <xf numFmtId="0" fontId="29" fillId="22" borderId="2" xfId="0" applyFont="1" applyFill="1" applyBorder="1" applyAlignment="1" applyProtection="1">
      <alignment vertical="center"/>
    </xf>
    <xf numFmtId="0" fontId="29" fillId="0" borderId="2" xfId="0" applyFont="1" applyFill="1" applyBorder="1" applyAlignment="1" applyProtection="1">
      <alignment vertical="center"/>
    </xf>
    <xf numFmtId="0" fontId="0" fillId="0" borderId="2" xfId="0" applyBorder="1"/>
    <xf numFmtId="0" fontId="29" fillId="23" borderId="2" xfId="0" applyFont="1" applyFill="1" applyBorder="1" applyAlignment="1" applyProtection="1">
      <alignment vertical="center"/>
    </xf>
    <xf numFmtId="0" fontId="29" fillId="24" borderId="2" xfId="0" applyFont="1" applyFill="1" applyBorder="1" applyAlignment="1" applyProtection="1">
      <alignment vertical="center"/>
    </xf>
    <xf numFmtId="0" fontId="29" fillId="25" borderId="2" xfId="0" applyFont="1" applyFill="1" applyBorder="1" applyAlignment="1" applyProtection="1">
      <alignment vertical="center"/>
    </xf>
    <xf numFmtId="0" fontId="29" fillId="26" borderId="7" xfId="0" applyFont="1" applyFill="1" applyBorder="1" applyAlignment="1" applyProtection="1">
      <alignment horizontal="center" vertical="center"/>
    </xf>
    <xf numFmtId="0" fontId="29" fillId="26" borderId="8" xfId="0" applyFont="1" applyFill="1" applyBorder="1" applyAlignment="1" applyProtection="1">
      <alignment horizontal="center" vertical="center"/>
    </xf>
    <xf numFmtId="0" fontId="29" fillId="0" borderId="9" xfId="0" applyFont="1" applyFill="1" applyBorder="1" applyAlignment="1" applyProtection="1">
      <alignment vertical="center"/>
    </xf>
    <xf numFmtId="0" fontId="29" fillId="24" borderId="2" xfId="0" applyFont="1" applyFill="1" applyBorder="1" applyAlignment="1" applyProtection="1">
      <alignment vertical="center" wrapText="1"/>
    </xf>
    <xf numFmtId="0" fontId="29" fillId="20" borderId="10" xfId="0" applyFont="1" applyFill="1" applyBorder="1" applyAlignment="1" applyProtection="1">
      <alignment horizontal="center" vertical="center"/>
    </xf>
    <xf numFmtId="0" fontId="29" fillId="20" borderId="11" xfId="0" applyFont="1" applyFill="1" applyBorder="1" applyAlignment="1" applyProtection="1">
      <alignment horizontal="center" vertical="center"/>
    </xf>
    <xf numFmtId="0" fontId="29" fillId="20" borderId="12" xfId="0" applyFont="1" applyFill="1" applyBorder="1" applyAlignment="1" applyProtection="1">
      <alignment horizontal="center" vertical="center"/>
    </xf>
    <xf numFmtId="0" fontId="29" fillId="20" borderId="13" xfId="0" applyFont="1" applyFill="1" applyBorder="1" applyAlignment="1" applyProtection="1">
      <alignment horizontal="center" vertical="center"/>
    </xf>
    <xf numFmtId="0" fontId="29" fillId="20" borderId="0" xfId="0" applyFont="1" applyFill="1" applyAlignment="1" applyProtection="1">
      <alignment horizontal="center" vertical="center"/>
    </xf>
    <xf numFmtId="0" fontId="29" fillId="20" borderId="14" xfId="0" applyFont="1" applyFill="1" applyBorder="1" applyAlignment="1" applyProtection="1">
      <alignment horizontal="center" vertical="center"/>
    </xf>
    <xf numFmtId="0" fontId="29" fillId="20" borderId="15" xfId="0" applyFont="1" applyFill="1" applyBorder="1" applyAlignment="1" applyProtection="1">
      <alignment horizontal="center" vertical="center"/>
    </xf>
    <xf numFmtId="0" fontId="29" fillId="20" borderId="16" xfId="0" applyFont="1" applyFill="1" applyBorder="1" applyAlignment="1" applyProtection="1">
      <alignment horizontal="center" vertical="center"/>
    </xf>
    <xf numFmtId="0" fontId="29" fillId="20" borderId="17" xfId="0" applyFont="1" applyFill="1" applyBorder="1" applyAlignment="1" applyProtection="1">
      <alignment horizontal="center" vertical="center"/>
    </xf>
    <xf numFmtId="0" fontId="29" fillId="27" borderId="7" xfId="0" applyFont="1" applyFill="1" applyBorder="1" applyAlignment="1" applyProtection="1">
      <alignment horizontal="center" vertical="center"/>
    </xf>
    <xf numFmtId="0" fontId="29" fillId="27" borderId="8" xfId="0" applyFont="1" applyFill="1" applyBorder="1" applyAlignment="1" applyProtection="1">
      <alignment horizontal="center" vertical="center"/>
    </xf>
    <xf numFmtId="0" fontId="29" fillId="27" borderId="9" xfId="0" applyFont="1" applyFill="1" applyBorder="1" applyAlignment="1" applyProtection="1">
      <alignment horizontal="center" vertical="center"/>
    </xf>
    <xf numFmtId="0" fontId="29" fillId="0" borderId="18" xfId="0" applyFont="1" applyFill="1" applyBorder="1" applyAlignment="1" applyProtection="1">
      <alignment horizontal="center" vertical="center" wrapText="1"/>
    </xf>
    <xf numFmtId="0" fontId="29" fillId="28" borderId="2" xfId="0" applyFont="1" applyFill="1" applyBorder="1" applyAlignment="1" applyProtection="1">
      <alignment vertical="center"/>
    </xf>
    <xf numFmtId="0" fontId="29" fillId="0" borderId="19" xfId="0" applyFont="1" applyFill="1" applyBorder="1" applyAlignment="1" applyProtection="1">
      <alignment horizontal="center" vertical="center" wrapText="1"/>
    </xf>
    <xf numFmtId="0" fontId="29" fillId="29" borderId="2" xfId="0" applyFont="1" applyFill="1" applyBorder="1" applyAlignment="1" applyProtection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top" wrapText="1"/>
    </xf>
    <xf numFmtId="0" fontId="30" fillId="30" borderId="1" xfId="0" applyFont="1" applyFill="1" applyBorder="1" applyAlignment="1">
      <alignment horizontal="left" vertical="top" wrapText="1"/>
    </xf>
    <xf numFmtId="0" fontId="31" fillId="31" borderId="1" xfId="0" applyFont="1" applyFill="1" applyBorder="1" applyAlignment="1">
      <alignment horizontal="center" vertical="top" wrapText="1"/>
    </xf>
    <xf numFmtId="0" fontId="32" fillId="30" borderId="1" xfId="0" applyFont="1" applyFill="1" applyBorder="1" applyAlignment="1">
      <alignment horizontal="center" vertical="top" wrapText="1"/>
    </xf>
    <xf numFmtId="9" fontId="30" fillId="30" borderId="1" xfId="0" applyNumberFormat="1" applyFont="1" applyFill="1" applyBorder="1" applyAlignment="1">
      <alignment horizontal="center" vertical="top" wrapText="1"/>
    </xf>
    <xf numFmtId="176" fontId="30" fillId="30" borderId="1" xfId="0" applyNumberFormat="1" applyFont="1" applyFill="1" applyBorder="1" applyAlignment="1">
      <alignment horizontal="center" vertical="top" wrapText="1"/>
    </xf>
    <xf numFmtId="0" fontId="30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 wrapText="1"/>
    </xf>
    <xf numFmtId="9" fontId="30" fillId="0" borderId="1" xfId="0" applyNumberFormat="1" applyFont="1" applyBorder="1" applyAlignment="1">
      <alignment horizontal="center" vertical="top" wrapText="1"/>
    </xf>
    <xf numFmtId="176" fontId="30" fillId="0" borderId="1" xfId="0" applyNumberFormat="1" applyFont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top" wrapText="1"/>
    </xf>
    <xf numFmtId="0" fontId="33" fillId="32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F4" sqref="F4"/>
    </sheetView>
  </sheetViews>
  <sheetFormatPr defaultColWidth="9" defaultRowHeight="16.8"/>
  <cols>
    <col min="1" max="1" width="5.5" customWidth="1"/>
    <col min="2" max="2" width="10" customWidth="1"/>
    <col min="3" max="3" width="9" customWidth="1"/>
    <col min="4" max="4" width="24" customWidth="1"/>
    <col min="5" max="5" width="46" customWidth="1"/>
    <col min="6" max="6" width="54" customWidth="1"/>
    <col min="7" max="7" width="6.5" customWidth="1"/>
    <col min="8" max="8" width="8" customWidth="1"/>
    <col min="9" max="9" width="7" customWidth="1"/>
    <col min="10" max="10" width="30" customWidth="1"/>
    <col min="11" max="11" width="22" customWidth="1"/>
    <col min="12" max="14" width="11.5" customWidth="1"/>
    <col min="15" max="15" width="15" customWidth="1"/>
    <col min="16" max="16" width="32" customWidth="1"/>
    <col min="17" max="17" width="28" customWidth="1"/>
  </cols>
  <sheetData>
    <row r="1" ht="30" customHeight="1" spans="1:17">
      <c r="A1" s="101" t="s">
        <v>0</v>
      </c>
      <c r="B1" s="101" t="s">
        <v>1</v>
      </c>
      <c r="C1" s="101" t="s">
        <v>2</v>
      </c>
      <c r="D1" s="101" t="s">
        <v>3</v>
      </c>
      <c r="E1" s="101" t="s">
        <v>4</v>
      </c>
      <c r="F1" s="101" t="s">
        <v>5</v>
      </c>
      <c r="G1" s="101" t="s">
        <v>6</v>
      </c>
      <c r="H1" s="101" t="s">
        <v>7</v>
      </c>
      <c r="I1" s="101" t="s">
        <v>8</v>
      </c>
      <c r="J1" s="101" t="s">
        <v>9</v>
      </c>
      <c r="K1" s="101" t="s">
        <v>10</v>
      </c>
      <c r="L1" s="101" t="s">
        <v>11</v>
      </c>
      <c r="M1" s="101" t="s">
        <v>12</v>
      </c>
      <c r="N1" s="101" t="s">
        <v>13</v>
      </c>
      <c r="O1" s="101" t="s">
        <v>14</v>
      </c>
      <c r="P1" s="101" t="s">
        <v>15</v>
      </c>
      <c r="Q1" s="101" t="s">
        <v>16</v>
      </c>
    </row>
    <row r="2" ht="83.4" customHeight="1" spans="1:17">
      <c r="A2" s="102">
        <v>1</v>
      </c>
      <c r="B2" s="103" t="s">
        <v>17</v>
      </c>
      <c r="C2" s="103" t="s">
        <v>18</v>
      </c>
      <c r="D2" s="103" t="s">
        <v>19</v>
      </c>
      <c r="E2" s="103" t="s">
        <v>20</v>
      </c>
      <c r="F2" s="103" t="s">
        <v>21</v>
      </c>
      <c r="G2" s="104" t="s">
        <v>22</v>
      </c>
      <c r="H2" s="105" t="s">
        <v>23</v>
      </c>
      <c r="I2" s="106">
        <v>0</v>
      </c>
      <c r="J2" s="103" t="s">
        <v>24</v>
      </c>
      <c r="K2" s="103" t="s">
        <v>25</v>
      </c>
      <c r="L2" s="107">
        <v>46279</v>
      </c>
      <c r="M2" s="107">
        <v>46279</v>
      </c>
      <c r="N2" s="107"/>
      <c r="O2" s="102"/>
      <c r="P2" s="103"/>
      <c r="Q2" s="103" t="s">
        <v>26</v>
      </c>
    </row>
    <row r="3" ht="109.2" customHeight="1" spans="1:17">
      <c r="A3" s="102">
        <v>2</v>
      </c>
      <c r="B3" s="108" t="s">
        <v>27</v>
      </c>
      <c r="C3" s="108" t="s">
        <v>28</v>
      </c>
      <c r="D3" s="108" t="s">
        <v>29</v>
      </c>
      <c r="E3" s="108" t="s">
        <v>30</v>
      </c>
      <c r="F3" s="108" t="s">
        <v>31</v>
      </c>
      <c r="G3" s="104" t="s">
        <v>22</v>
      </c>
      <c r="H3" s="109" t="s">
        <v>23</v>
      </c>
      <c r="I3" s="110">
        <v>0</v>
      </c>
      <c r="J3" s="108"/>
      <c r="K3" s="108"/>
      <c r="L3" s="111">
        <v>46279</v>
      </c>
      <c r="M3" s="111">
        <v>46280</v>
      </c>
      <c r="N3" s="111"/>
      <c r="O3" s="112"/>
      <c r="P3" s="108"/>
      <c r="Q3" s="108"/>
    </row>
    <row r="4" ht="83.4" customHeight="1" spans="1:17">
      <c r="A4" s="102">
        <v>3</v>
      </c>
      <c r="B4" s="103" t="s">
        <v>27</v>
      </c>
      <c r="C4" s="103" t="s">
        <v>32</v>
      </c>
      <c r="D4" s="103" t="s">
        <v>33</v>
      </c>
      <c r="E4" s="103" t="s">
        <v>34</v>
      </c>
      <c r="F4" s="103" t="s">
        <v>35</v>
      </c>
      <c r="G4" s="104" t="s">
        <v>22</v>
      </c>
      <c r="H4" s="105" t="s">
        <v>23</v>
      </c>
      <c r="I4" s="106">
        <v>0</v>
      </c>
      <c r="J4" s="103" t="s">
        <v>36</v>
      </c>
      <c r="K4" s="103"/>
      <c r="L4" s="107">
        <v>46279</v>
      </c>
      <c r="M4" s="107">
        <v>46281</v>
      </c>
      <c r="N4" s="107"/>
      <c r="O4" s="102"/>
      <c r="P4" s="103"/>
      <c r="Q4" s="103"/>
    </row>
    <row r="5" ht="83.4" customHeight="1" spans="1:17">
      <c r="A5" s="102">
        <v>4</v>
      </c>
      <c r="B5" s="108" t="s">
        <v>37</v>
      </c>
      <c r="C5" s="108" t="s">
        <v>32</v>
      </c>
      <c r="D5" s="108" t="s">
        <v>38</v>
      </c>
      <c r="E5" s="108" t="s">
        <v>39</v>
      </c>
      <c r="F5" s="108" t="s">
        <v>40</v>
      </c>
      <c r="G5" s="104" t="s">
        <v>22</v>
      </c>
      <c r="H5" s="109" t="s">
        <v>23</v>
      </c>
      <c r="I5" s="110">
        <v>0</v>
      </c>
      <c r="J5" s="108"/>
      <c r="K5" s="108"/>
      <c r="L5" s="111">
        <v>46279</v>
      </c>
      <c r="M5" s="111">
        <v>46280</v>
      </c>
      <c r="N5" s="111"/>
      <c r="O5" s="112"/>
      <c r="P5" s="108"/>
      <c r="Q5" s="108"/>
    </row>
    <row r="6" ht="122.1" customHeight="1" spans="1:17">
      <c r="A6" s="102">
        <v>5</v>
      </c>
      <c r="B6" s="103" t="s">
        <v>41</v>
      </c>
      <c r="C6" s="103" t="s">
        <v>42</v>
      </c>
      <c r="D6" s="103" t="s">
        <v>43</v>
      </c>
      <c r="E6" s="103" t="s">
        <v>44</v>
      </c>
      <c r="F6" s="103" t="s">
        <v>45</v>
      </c>
      <c r="G6" s="104" t="s">
        <v>22</v>
      </c>
      <c r="H6" s="105" t="s">
        <v>23</v>
      </c>
      <c r="I6" s="106">
        <v>0</v>
      </c>
      <c r="J6" s="103" t="s">
        <v>46</v>
      </c>
      <c r="K6" s="103" t="s">
        <v>47</v>
      </c>
      <c r="L6" s="107">
        <v>46279</v>
      </c>
      <c r="M6" s="107">
        <v>46282</v>
      </c>
      <c r="N6" s="107"/>
      <c r="O6" s="102"/>
      <c r="P6" s="103"/>
      <c r="Q6" s="103"/>
    </row>
    <row r="7" ht="109.2" customHeight="1" spans="1:17">
      <c r="A7" s="102">
        <v>6</v>
      </c>
      <c r="B7" s="108" t="s">
        <v>41</v>
      </c>
      <c r="C7" s="108" t="s">
        <v>42</v>
      </c>
      <c r="D7" s="108" t="s">
        <v>48</v>
      </c>
      <c r="E7" s="108" t="s">
        <v>49</v>
      </c>
      <c r="F7" s="108" t="s">
        <v>50</v>
      </c>
      <c r="G7" s="104" t="s">
        <v>22</v>
      </c>
      <c r="H7" s="109" t="s">
        <v>23</v>
      </c>
      <c r="I7" s="110">
        <v>0</v>
      </c>
      <c r="J7" s="108"/>
      <c r="K7" s="108" t="s">
        <v>51</v>
      </c>
      <c r="L7" s="111">
        <v>46280</v>
      </c>
      <c r="M7" s="111">
        <v>46282</v>
      </c>
      <c r="N7" s="111"/>
      <c r="O7" s="112"/>
      <c r="P7" s="108"/>
      <c r="Q7" s="108"/>
    </row>
    <row r="8" ht="109.2" customHeight="1" spans="1:17">
      <c r="A8" s="102">
        <v>7</v>
      </c>
      <c r="B8" s="103" t="s">
        <v>41</v>
      </c>
      <c r="C8" s="103" t="s">
        <v>42</v>
      </c>
      <c r="D8" s="103" t="s">
        <v>52</v>
      </c>
      <c r="E8" s="103" t="s">
        <v>53</v>
      </c>
      <c r="F8" s="103" t="s">
        <v>54</v>
      </c>
      <c r="G8" s="113" t="s">
        <v>55</v>
      </c>
      <c r="H8" s="105" t="s">
        <v>23</v>
      </c>
      <c r="I8" s="106">
        <v>0</v>
      </c>
      <c r="J8" s="103"/>
      <c r="K8" s="103"/>
      <c r="L8" s="107">
        <v>46281</v>
      </c>
      <c r="M8" s="107">
        <v>46283</v>
      </c>
      <c r="N8" s="107"/>
      <c r="O8" s="102"/>
      <c r="P8" s="103"/>
      <c r="Q8" s="103"/>
    </row>
    <row r="9" ht="109.2" customHeight="1" spans="1:17">
      <c r="A9" s="102">
        <v>8</v>
      </c>
      <c r="B9" s="108" t="s">
        <v>41</v>
      </c>
      <c r="C9" s="108" t="s">
        <v>56</v>
      </c>
      <c r="D9" s="108" t="s">
        <v>57</v>
      </c>
      <c r="E9" s="108" t="s">
        <v>58</v>
      </c>
      <c r="F9" s="108" t="s">
        <v>59</v>
      </c>
      <c r="G9" s="104" t="s">
        <v>22</v>
      </c>
      <c r="H9" s="109" t="s">
        <v>23</v>
      </c>
      <c r="I9" s="110">
        <v>0</v>
      </c>
      <c r="J9" s="108"/>
      <c r="K9" s="108"/>
      <c r="L9" s="111">
        <v>46280</v>
      </c>
      <c r="M9" s="111">
        <v>46287</v>
      </c>
      <c r="N9" s="111"/>
      <c r="O9" s="112"/>
      <c r="P9" s="108"/>
      <c r="Q9" s="108"/>
    </row>
    <row r="10" ht="122.1" customHeight="1" spans="1:17">
      <c r="A10" s="102">
        <v>9</v>
      </c>
      <c r="B10" s="103" t="s">
        <v>37</v>
      </c>
      <c r="C10" s="103" t="s">
        <v>42</v>
      </c>
      <c r="D10" s="103" t="s">
        <v>60</v>
      </c>
      <c r="E10" s="103" t="s">
        <v>61</v>
      </c>
      <c r="F10" s="103" t="s">
        <v>62</v>
      </c>
      <c r="G10" s="104" t="s">
        <v>22</v>
      </c>
      <c r="H10" s="105" t="s">
        <v>23</v>
      </c>
      <c r="I10" s="106">
        <v>0</v>
      </c>
      <c r="J10" s="103"/>
      <c r="K10" s="103"/>
      <c r="L10" s="107">
        <v>46279</v>
      </c>
      <c r="M10" s="107">
        <v>46283</v>
      </c>
      <c r="N10" s="107"/>
      <c r="O10" s="102"/>
      <c r="P10" s="103"/>
      <c r="Q10" s="103"/>
    </row>
    <row r="11" ht="160.8" customHeight="1" spans="1:17">
      <c r="A11" s="102">
        <v>10</v>
      </c>
      <c r="B11" s="108" t="s">
        <v>37</v>
      </c>
      <c r="C11" s="108" t="s">
        <v>63</v>
      </c>
      <c r="D11" s="108" t="s">
        <v>64</v>
      </c>
      <c r="E11" s="108" t="s">
        <v>65</v>
      </c>
      <c r="F11" s="108" t="s">
        <v>66</v>
      </c>
      <c r="G11" s="113" t="s">
        <v>55</v>
      </c>
      <c r="H11" s="109" t="s">
        <v>23</v>
      </c>
      <c r="I11" s="110">
        <v>0</v>
      </c>
      <c r="J11" s="108" t="s">
        <v>67</v>
      </c>
      <c r="K11" s="108" t="s">
        <v>68</v>
      </c>
      <c r="L11" s="111">
        <v>46281</v>
      </c>
      <c r="M11" s="111">
        <v>46289</v>
      </c>
      <c r="N11" s="111"/>
      <c r="O11" s="112"/>
      <c r="P11" s="108"/>
      <c r="Q11" s="108"/>
    </row>
    <row r="12" ht="109.2" customHeight="1" spans="1:17">
      <c r="A12" s="102">
        <v>11</v>
      </c>
      <c r="B12" s="103" t="s">
        <v>37</v>
      </c>
      <c r="C12" s="103" t="s">
        <v>63</v>
      </c>
      <c r="D12" s="103" t="s">
        <v>69</v>
      </c>
      <c r="E12" s="103" t="s">
        <v>70</v>
      </c>
      <c r="F12" s="103" t="s">
        <v>71</v>
      </c>
      <c r="G12" s="104" t="s">
        <v>22</v>
      </c>
      <c r="H12" s="105" t="s">
        <v>23</v>
      </c>
      <c r="I12" s="106">
        <v>0</v>
      </c>
      <c r="J12" s="103" t="s">
        <v>72</v>
      </c>
      <c r="K12" s="103" t="s">
        <v>51</v>
      </c>
      <c r="L12" s="107">
        <v>46280</v>
      </c>
      <c r="M12" s="107">
        <v>46283</v>
      </c>
      <c r="N12" s="107"/>
      <c r="O12" s="102"/>
      <c r="P12" s="103"/>
      <c r="Q12" s="103"/>
    </row>
    <row r="13" ht="83.4" customHeight="1" spans="1:17">
      <c r="A13" s="102">
        <v>12</v>
      </c>
      <c r="B13" s="108" t="s">
        <v>37</v>
      </c>
      <c r="C13" s="108" t="s">
        <v>63</v>
      </c>
      <c r="D13" s="108" t="s">
        <v>73</v>
      </c>
      <c r="E13" s="108" t="s">
        <v>74</v>
      </c>
      <c r="F13" s="108" t="s">
        <v>75</v>
      </c>
      <c r="G13" s="113" t="s">
        <v>55</v>
      </c>
      <c r="H13" s="109" t="s">
        <v>23</v>
      </c>
      <c r="I13" s="110">
        <v>0</v>
      </c>
      <c r="J13" s="108" t="s">
        <v>76</v>
      </c>
      <c r="K13" s="108" t="s">
        <v>51</v>
      </c>
      <c r="L13" s="111">
        <v>46281</v>
      </c>
      <c r="M13" s="111">
        <v>46283</v>
      </c>
      <c r="N13" s="111"/>
      <c r="O13" s="112"/>
      <c r="P13" s="108"/>
      <c r="Q13" s="108"/>
    </row>
    <row r="14" ht="83.4" customHeight="1" spans="1:17">
      <c r="A14" s="102">
        <v>13</v>
      </c>
      <c r="B14" s="103" t="s">
        <v>37</v>
      </c>
      <c r="C14" s="103" t="s">
        <v>63</v>
      </c>
      <c r="D14" s="103" t="s">
        <v>77</v>
      </c>
      <c r="E14" s="103" t="s">
        <v>78</v>
      </c>
      <c r="F14" s="103" t="s">
        <v>79</v>
      </c>
      <c r="G14" s="104" t="s">
        <v>22</v>
      </c>
      <c r="H14" s="105" t="s">
        <v>23</v>
      </c>
      <c r="I14" s="106">
        <v>0</v>
      </c>
      <c r="J14" s="103" t="s">
        <v>80</v>
      </c>
      <c r="K14" s="103" t="s">
        <v>81</v>
      </c>
      <c r="L14" s="107">
        <v>46281</v>
      </c>
      <c r="M14" s="107">
        <v>46283</v>
      </c>
      <c r="N14" s="107"/>
      <c r="O14" s="102"/>
      <c r="P14" s="103"/>
      <c r="Q14" s="103"/>
    </row>
    <row r="15" ht="96.3" customHeight="1" spans="1:17">
      <c r="A15" s="102">
        <v>14</v>
      </c>
      <c r="B15" s="108" t="s">
        <v>37</v>
      </c>
      <c r="C15" s="108" t="s">
        <v>82</v>
      </c>
      <c r="D15" s="108" t="s">
        <v>83</v>
      </c>
      <c r="E15" s="108" t="s">
        <v>84</v>
      </c>
      <c r="F15" s="108" t="s">
        <v>85</v>
      </c>
      <c r="G15" s="104" t="s">
        <v>22</v>
      </c>
      <c r="H15" s="109" t="s">
        <v>23</v>
      </c>
      <c r="I15" s="110">
        <v>0</v>
      </c>
      <c r="J15" s="108" t="s">
        <v>51</v>
      </c>
      <c r="K15" s="108" t="s">
        <v>51</v>
      </c>
      <c r="L15" s="111">
        <v>46282</v>
      </c>
      <c r="M15" s="111">
        <v>46283</v>
      </c>
      <c r="N15" s="111"/>
      <c r="O15" s="112"/>
      <c r="P15" s="108"/>
      <c r="Q15" s="108"/>
    </row>
    <row r="16" ht="96.3" customHeight="1" spans="1:17">
      <c r="A16" s="102">
        <v>15</v>
      </c>
      <c r="B16" s="103" t="s">
        <v>86</v>
      </c>
      <c r="C16" s="103" t="s">
        <v>42</v>
      </c>
      <c r="D16" s="103" t="s">
        <v>87</v>
      </c>
      <c r="E16" s="103" t="s">
        <v>88</v>
      </c>
      <c r="F16" s="103" t="s">
        <v>89</v>
      </c>
      <c r="G16" s="104" t="s">
        <v>22</v>
      </c>
      <c r="H16" s="109" t="s">
        <v>23</v>
      </c>
      <c r="I16" s="106">
        <v>0</v>
      </c>
      <c r="J16" s="108" t="s">
        <v>90</v>
      </c>
      <c r="K16" s="108" t="s">
        <v>91</v>
      </c>
      <c r="L16" s="107">
        <v>46279</v>
      </c>
      <c r="M16" s="107">
        <v>46286</v>
      </c>
      <c r="N16" s="107"/>
      <c r="O16" s="102"/>
      <c r="P16" s="103"/>
      <c r="Q16" s="103"/>
    </row>
    <row r="17" ht="96.3" customHeight="1" spans="1:17">
      <c r="A17" s="102">
        <v>16</v>
      </c>
      <c r="B17" s="103" t="s">
        <v>86</v>
      </c>
      <c r="C17" s="103" t="s">
        <v>63</v>
      </c>
      <c r="D17" s="103" t="s">
        <v>92</v>
      </c>
      <c r="E17" s="103" t="s">
        <v>93</v>
      </c>
      <c r="F17" s="103" t="s">
        <v>94</v>
      </c>
      <c r="G17" s="104" t="s">
        <v>22</v>
      </c>
      <c r="H17" s="105" t="s">
        <v>23</v>
      </c>
      <c r="I17" s="106">
        <v>0</v>
      </c>
      <c r="J17" s="103" t="s">
        <v>95</v>
      </c>
      <c r="K17" s="103" t="s">
        <v>51</v>
      </c>
      <c r="L17" s="107">
        <v>46286</v>
      </c>
      <c r="M17" s="107">
        <v>46288</v>
      </c>
      <c r="N17" s="107"/>
      <c r="O17" s="102"/>
      <c r="P17" s="103"/>
      <c r="Q17" s="103"/>
    </row>
    <row r="18" ht="83.4" customHeight="1" spans="1:17">
      <c r="A18" s="102">
        <v>17</v>
      </c>
      <c r="B18" s="108" t="s">
        <v>96</v>
      </c>
      <c r="C18" s="108" t="s">
        <v>97</v>
      </c>
      <c r="D18" s="108" t="s">
        <v>98</v>
      </c>
      <c r="E18" s="108" t="s">
        <v>99</v>
      </c>
      <c r="F18" s="108" t="s">
        <v>100</v>
      </c>
      <c r="G18" s="104" t="s">
        <v>22</v>
      </c>
      <c r="H18" s="109" t="s">
        <v>23</v>
      </c>
      <c r="I18" s="110">
        <v>0</v>
      </c>
      <c r="J18" s="108" t="s">
        <v>101</v>
      </c>
      <c r="K18" s="108" t="s">
        <v>102</v>
      </c>
      <c r="L18" s="111">
        <v>46283</v>
      </c>
      <c r="M18" s="111">
        <v>46288</v>
      </c>
      <c r="N18" s="111"/>
      <c r="O18" s="112"/>
      <c r="P18" s="108"/>
      <c r="Q18" s="108"/>
    </row>
    <row r="19" ht="57.6" customHeight="1" spans="1:17">
      <c r="A19" s="102">
        <v>18</v>
      </c>
      <c r="B19" s="103" t="s">
        <v>96</v>
      </c>
      <c r="C19" s="103" t="s">
        <v>97</v>
      </c>
      <c r="D19" s="103" t="s">
        <v>103</v>
      </c>
      <c r="E19" s="103" t="s">
        <v>104</v>
      </c>
      <c r="F19" s="103" t="s">
        <v>105</v>
      </c>
      <c r="G19" s="113" t="s">
        <v>55</v>
      </c>
      <c r="H19" s="105" t="s">
        <v>23</v>
      </c>
      <c r="I19" s="106">
        <v>0</v>
      </c>
      <c r="J19" s="103" t="s">
        <v>106</v>
      </c>
      <c r="K19" s="103"/>
      <c r="L19" s="107">
        <v>46286</v>
      </c>
      <c r="M19" s="107">
        <v>46288</v>
      </c>
      <c r="N19" s="107"/>
      <c r="O19" s="102"/>
      <c r="P19" s="103"/>
      <c r="Q19" s="103"/>
    </row>
    <row r="20" ht="135" customHeight="1" spans="1:17">
      <c r="A20" s="102">
        <v>19</v>
      </c>
      <c r="B20" s="108" t="s">
        <v>107</v>
      </c>
      <c r="C20" s="108" t="s">
        <v>108</v>
      </c>
      <c r="D20" s="108" t="s">
        <v>109</v>
      </c>
      <c r="E20" s="108" t="s">
        <v>110</v>
      </c>
      <c r="F20" s="108" t="s">
        <v>111</v>
      </c>
      <c r="G20" s="104" t="s">
        <v>22</v>
      </c>
      <c r="H20" s="109" t="s">
        <v>23</v>
      </c>
      <c r="I20" s="110">
        <v>0</v>
      </c>
      <c r="J20" s="108" t="s">
        <v>112</v>
      </c>
      <c r="K20" s="108" t="s">
        <v>51</v>
      </c>
      <c r="L20" s="111">
        <v>46286</v>
      </c>
      <c r="M20" s="111">
        <v>46289</v>
      </c>
      <c r="N20" s="111"/>
      <c r="O20" s="112"/>
      <c r="P20" s="108"/>
      <c r="Q20" s="108"/>
    </row>
    <row r="21" ht="83.4" customHeight="1" spans="1:17">
      <c r="A21" s="102">
        <v>20</v>
      </c>
      <c r="B21" s="103" t="s">
        <v>107</v>
      </c>
      <c r="C21" s="103" t="s">
        <v>108</v>
      </c>
      <c r="D21" s="103" t="s">
        <v>113</v>
      </c>
      <c r="E21" s="103" t="s">
        <v>114</v>
      </c>
      <c r="F21" s="103" t="s">
        <v>115</v>
      </c>
      <c r="G21" s="113" t="s">
        <v>55</v>
      </c>
      <c r="H21" s="105" t="s">
        <v>23</v>
      </c>
      <c r="I21" s="106">
        <v>0</v>
      </c>
      <c r="J21" s="103" t="s">
        <v>116</v>
      </c>
      <c r="K21" s="103" t="s">
        <v>117</v>
      </c>
      <c r="L21" s="107">
        <v>46286</v>
      </c>
      <c r="M21" s="107">
        <v>46290</v>
      </c>
      <c r="N21" s="107"/>
      <c r="O21" s="102"/>
      <c r="P21" s="103"/>
      <c r="Q21" s="103"/>
    </row>
    <row r="22" ht="70.5" customHeight="1" spans="1:17">
      <c r="A22" s="102">
        <v>21</v>
      </c>
      <c r="B22" s="108" t="s">
        <v>107</v>
      </c>
      <c r="C22" s="108" t="s">
        <v>118</v>
      </c>
      <c r="D22" s="108" t="s">
        <v>119</v>
      </c>
      <c r="E22" s="108" t="s">
        <v>120</v>
      </c>
      <c r="F22" s="108" t="s">
        <v>121</v>
      </c>
      <c r="G22" s="113" t="s">
        <v>55</v>
      </c>
      <c r="H22" s="109" t="s">
        <v>23</v>
      </c>
      <c r="I22" s="110">
        <v>0</v>
      </c>
      <c r="J22" s="108" t="s">
        <v>122</v>
      </c>
      <c r="K22" s="108" t="s">
        <v>123</v>
      </c>
      <c r="L22" s="111">
        <v>46279</v>
      </c>
      <c r="M22" s="111">
        <v>46289</v>
      </c>
      <c r="N22" s="111"/>
      <c r="O22" s="112"/>
      <c r="P22" s="108"/>
      <c r="Q22" s="108"/>
    </row>
    <row r="23" ht="70.5" customHeight="1" spans="1:17">
      <c r="A23" s="102">
        <v>22</v>
      </c>
      <c r="B23" s="103" t="s">
        <v>124</v>
      </c>
      <c r="C23" s="103" t="s">
        <v>124</v>
      </c>
      <c r="D23" s="103" t="s">
        <v>125</v>
      </c>
      <c r="E23" s="103" t="s">
        <v>126</v>
      </c>
      <c r="F23" s="103" t="s">
        <v>127</v>
      </c>
      <c r="G23" s="113" t="s">
        <v>55</v>
      </c>
      <c r="H23" s="105" t="s">
        <v>23</v>
      </c>
      <c r="I23" s="106">
        <v>0</v>
      </c>
      <c r="J23" s="103" t="s">
        <v>128</v>
      </c>
      <c r="K23" s="103" t="s">
        <v>51</v>
      </c>
      <c r="L23" s="107">
        <v>46288</v>
      </c>
      <c r="M23" s="107">
        <v>46290</v>
      </c>
      <c r="N23" s="107"/>
      <c r="O23" s="102"/>
      <c r="P23" s="103"/>
      <c r="Q23" s="103"/>
    </row>
    <row r="24" ht="83.4" customHeight="1" spans="1:17">
      <c r="A24" s="102">
        <v>23</v>
      </c>
      <c r="B24" s="108" t="s">
        <v>129</v>
      </c>
      <c r="C24" s="108" t="s">
        <v>97</v>
      </c>
      <c r="D24" s="108" t="s">
        <v>130</v>
      </c>
      <c r="E24" s="108" t="s">
        <v>131</v>
      </c>
      <c r="F24" s="108" t="s">
        <v>132</v>
      </c>
      <c r="G24" s="113" t="s">
        <v>55</v>
      </c>
      <c r="H24" s="109" t="s">
        <v>23</v>
      </c>
      <c r="I24" s="110">
        <v>0</v>
      </c>
      <c r="J24" s="108" t="s">
        <v>133</v>
      </c>
      <c r="K24" s="108" t="s">
        <v>51</v>
      </c>
      <c r="L24" s="111">
        <v>46288</v>
      </c>
      <c r="M24" s="111">
        <v>46290</v>
      </c>
      <c r="N24" s="111"/>
      <c r="O24" s="112"/>
      <c r="P24" s="108"/>
      <c r="Q24" s="108"/>
    </row>
    <row r="25" ht="109.2" customHeight="1" spans="1:17">
      <c r="A25" s="102">
        <v>24</v>
      </c>
      <c r="B25" s="103" t="s">
        <v>134</v>
      </c>
      <c r="C25" s="103" t="s">
        <v>124</v>
      </c>
      <c r="D25" s="103" t="s">
        <v>135</v>
      </c>
      <c r="E25" s="103" t="s">
        <v>136</v>
      </c>
      <c r="F25" s="103" t="s">
        <v>137</v>
      </c>
      <c r="G25" s="113" t="s">
        <v>55</v>
      </c>
      <c r="H25" s="105" t="s">
        <v>23</v>
      </c>
      <c r="I25" s="106">
        <v>0</v>
      </c>
      <c r="J25" s="103" t="s">
        <v>138</v>
      </c>
      <c r="K25" s="103" t="s">
        <v>139</v>
      </c>
      <c r="L25" s="107">
        <v>46289</v>
      </c>
      <c r="M25" s="107">
        <v>46294</v>
      </c>
      <c r="N25" s="107"/>
      <c r="O25" s="102"/>
      <c r="P25" s="103"/>
      <c r="Q25" s="103"/>
    </row>
    <row r="26" ht="173.7" customHeight="1" spans="1:17">
      <c r="A26" s="102">
        <v>25</v>
      </c>
      <c r="B26" s="108" t="s">
        <v>140</v>
      </c>
      <c r="C26" s="108" t="s">
        <v>141</v>
      </c>
      <c r="D26" s="108" t="s">
        <v>142</v>
      </c>
      <c r="E26" s="108" t="s">
        <v>143</v>
      </c>
      <c r="F26" s="108" t="s">
        <v>144</v>
      </c>
      <c r="G26" s="104" t="s">
        <v>22</v>
      </c>
      <c r="H26" s="109" t="s">
        <v>23</v>
      </c>
      <c r="I26" s="110">
        <v>0</v>
      </c>
      <c r="J26" s="108" t="s">
        <v>145</v>
      </c>
      <c r="K26" s="108" t="s">
        <v>146</v>
      </c>
      <c r="L26" s="111">
        <v>46290</v>
      </c>
      <c r="M26" s="111">
        <v>46294</v>
      </c>
      <c r="N26" s="111"/>
      <c r="O26" s="112"/>
      <c r="P26" s="108"/>
      <c r="Q26" s="108"/>
    </row>
    <row r="27" ht="109.2" customHeight="1" spans="1:17">
      <c r="A27" s="102">
        <v>26</v>
      </c>
      <c r="B27" s="103" t="s">
        <v>124</v>
      </c>
      <c r="C27" s="103" t="s">
        <v>147</v>
      </c>
      <c r="D27" s="103" t="s">
        <v>148</v>
      </c>
      <c r="E27" s="103" t="s">
        <v>149</v>
      </c>
      <c r="F27" s="103" t="s">
        <v>150</v>
      </c>
      <c r="G27" s="104" t="s">
        <v>22</v>
      </c>
      <c r="H27" s="105" t="s">
        <v>23</v>
      </c>
      <c r="I27" s="106">
        <v>0</v>
      </c>
      <c r="J27" s="103" t="s">
        <v>151</v>
      </c>
      <c r="K27" s="103" t="s">
        <v>51</v>
      </c>
      <c r="L27" s="107">
        <v>46293</v>
      </c>
      <c r="M27" s="107">
        <v>46294</v>
      </c>
      <c r="N27" s="107"/>
      <c r="O27" s="102"/>
      <c r="P27" s="103"/>
      <c r="Q27" s="103"/>
    </row>
    <row r="28" ht="96.3" customHeight="1" spans="1:17">
      <c r="A28" s="102">
        <v>27</v>
      </c>
      <c r="B28" s="103" t="s">
        <v>140</v>
      </c>
      <c r="C28" s="103" t="s">
        <v>152</v>
      </c>
      <c r="D28" s="103" t="s">
        <v>153</v>
      </c>
      <c r="E28" s="103" t="s">
        <v>154</v>
      </c>
      <c r="F28" s="103" t="s">
        <v>155</v>
      </c>
      <c r="G28" s="104" t="s">
        <v>22</v>
      </c>
      <c r="H28" s="105" t="s">
        <v>23</v>
      </c>
      <c r="I28" s="106">
        <v>0</v>
      </c>
      <c r="J28" s="103" t="s">
        <v>156</v>
      </c>
      <c r="K28" s="103" t="s">
        <v>157</v>
      </c>
      <c r="L28" s="107">
        <v>46295</v>
      </c>
      <c r="M28" s="107">
        <v>46295</v>
      </c>
      <c r="N28" s="107"/>
      <c r="O28" s="102"/>
      <c r="P28" s="103"/>
      <c r="Q28" s="103"/>
    </row>
    <row r="29" ht="96.3" customHeight="1" spans="1:17">
      <c r="A29" s="102">
        <v>28</v>
      </c>
      <c r="B29" s="108" t="s">
        <v>17</v>
      </c>
      <c r="C29" s="108" t="s">
        <v>18</v>
      </c>
      <c r="D29" s="108" t="s">
        <v>158</v>
      </c>
      <c r="E29" s="108" t="s">
        <v>159</v>
      </c>
      <c r="F29" s="108" t="s">
        <v>160</v>
      </c>
      <c r="G29" s="113" t="s">
        <v>55</v>
      </c>
      <c r="H29" s="109" t="s">
        <v>23</v>
      </c>
      <c r="I29" s="110">
        <v>0</v>
      </c>
      <c r="J29" s="108" t="s">
        <v>51</v>
      </c>
      <c r="K29" s="108" t="s">
        <v>161</v>
      </c>
      <c r="L29" s="111">
        <v>46279</v>
      </c>
      <c r="M29" s="111">
        <v>46295</v>
      </c>
      <c r="N29" s="111"/>
      <c r="O29" s="112"/>
      <c r="P29" s="108"/>
      <c r="Q29" s="10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tabSelected="1" workbookViewId="0">
      <selection activeCell="R21" sqref="R21"/>
    </sheetView>
  </sheetViews>
  <sheetFormatPr defaultColWidth="9.02884615384615" defaultRowHeight="16.8"/>
  <cols>
    <col min="1" max="1" width="9.28846153846154" customWidth="1"/>
    <col min="2" max="2" width="14.8653846153846" customWidth="1"/>
    <col min="3" max="5" width="2.94230769230769" customWidth="1"/>
    <col min="6" max="24" width="4.20192307692308" customWidth="1"/>
    <col min="25" max="25" width="4.31730769230769" customWidth="1"/>
    <col min="26" max="26" width="4.20192307692308" customWidth="1"/>
  </cols>
  <sheetData>
    <row r="1" ht="20.4" spans="1:26">
      <c r="A1" s="64" t="s">
        <v>162</v>
      </c>
      <c r="B1" s="65"/>
      <c r="C1" s="66" t="s">
        <v>163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8"/>
    </row>
    <row r="2" ht="17.6" spans="1:26">
      <c r="A2" s="69" t="s">
        <v>164</v>
      </c>
      <c r="B2" s="69" t="s">
        <v>165</v>
      </c>
      <c r="C2" s="70" t="s">
        <v>166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2"/>
    </row>
    <row r="3" ht="17.6" spans="1:26">
      <c r="A3" s="69"/>
      <c r="B3" s="69"/>
      <c r="C3" s="69">
        <v>7</v>
      </c>
      <c r="D3" s="69">
        <v>8</v>
      </c>
      <c r="E3" s="69">
        <v>9</v>
      </c>
      <c r="F3" s="69">
        <v>10</v>
      </c>
      <c r="G3" s="69">
        <v>11</v>
      </c>
      <c r="H3" s="73">
        <v>12</v>
      </c>
      <c r="I3" s="73">
        <v>13</v>
      </c>
      <c r="J3" s="69">
        <v>14</v>
      </c>
      <c r="K3" s="69">
        <v>15</v>
      </c>
      <c r="L3" s="69">
        <v>16</v>
      </c>
      <c r="M3" s="69">
        <v>17</v>
      </c>
      <c r="N3" s="69">
        <v>18</v>
      </c>
      <c r="O3" s="73">
        <v>19</v>
      </c>
      <c r="P3" s="69">
        <v>20</v>
      </c>
      <c r="Q3" s="69">
        <v>21</v>
      </c>
      <c r="R3" s="69">
        <v>22</v>
      </c>
      <c r="S3" s="69">
        <v>23</v>
      </c>
      <c r="T3" s="69">
        <v>24</v>
      </c>
      <c r="U3" s="73">
        <v>25</v>
      </c>
      <c r="V3" s="73">
        <v>26</v>
      </c>
      <c r="W3" s="73">
        <v>27</v>
      </c>
      <c r="X3" s="69">
        <v>28</v>
      </c>
      <c r="Y3" s="69">
        <v>29</v>
      </c>
      <c r="Z3" s="69">
        <v>30</v>
      </c>
    </row>
    <row r="4" ht="31" spans="1:26">
      <c r="A4" s="74" t="s">
        <v>167</v>
      </c>
      <c r="B4" s="74" t="s">
        <v>168</v>
      </c>
      <c r="C4" s="75"/>
      <c r="D4" s="75"/>
      <c r="E4" s="75"/>
      <c r="F4" s="75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7"/>
    </row>
    <row r="5" ht="31" spans="1:26">
      <c r="A5" s="74"/>
      <c r="B5" s="74" t="s">
        <v>169</v>
      </c>
      <c r="C5" s="75"/>
      <c r="D5" s="75"/>
      <c r="E5" s="75"/>
      <c r="F5" s="75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7"/>
    </row>
    <row r="6" spans="1:26">
      <c r="A6" s="74" t="s">
        <v>170</v>
      </c>
      <c r="B6" s="74" t="s">
        <v>171</v>
      </c>
      <c r="C6" s="76"/>
      <c r="D6" s="76"/>
      <c r="E6" s="78"/>
      <c r="F6" s="78"/>
      <c r="G6" s="78"/>
      <c r="H6" s="79"/>
      <c r="I6" s="79"/>
      <c r="J6" s="79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7"/>
    </row>
    <row r="7" spans="1:26">
      <c r="A7" s="74"/>
      <c r="B7" s="74" t="s">
        <v>172</v>
      </c>
      <c r="C7" s="76"/>
      <c r="D7" s="76"/>
      <c r="E7" s="80"/>
      <c r="F7" s="80"/>
      <c r="G7" s="80"/>
      <c r="H7" s="79"/>
      <c r="I7" s="79"/>
      <c r="J7" s="79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7"/>
    </row>
    <row r="8" spans="1:26">
      <c r="A8" s="74" t="s">
        <v>173</v>
      </c>
      <c r="B8" s="74" t="s">
        <v>174</v>
      </c>
      <c r="C8" s="79"/>
      <c r="D8" s="79"/>
      <c r="E8" s="79"/>
      <c r="F8" s="79"/>
      <c r="G8" s="76"/>
      <c r="H8" s="76"/>
      <c r="I8" s="76"/>
      <c r="J8" s="81"/>
      <c r="K8" s="82"/>
      <c r="L8" s="82"/>
      <c r="M8" s="82"/>
      <c r="N8" s="83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7"/>
    </row>
    <row r="9" spans="1:26">
      <c r="A9" s="74" t="s">
        <v>175</v>
      </c>
      <c r="B9" s="74" t="s">
        <v>176</v>
      </c>
      <c r="C9" s="76"/>
      <c r="D9" s="76"/>
      <c r="E9" s="76"/>
      <c r="F9" s="76"/>
      <c r="G9" s="84"/>
      <c r="H9" s="84"/>
      <c r="J9" s="85" t="s">
        <v>177</v>
      </c>
      <c r="K9" s="86"/>
      <c r="L9" s="86"/>
      <c r="M9" s="86"/>
      <c r="N9" s="86"/>
      <c r="O9" s="86"/>
      <c r="P9" s="86"/>
      <c r="Q9" s="86"/>
      <c r="R9" s="86"/>
      <c r="S9" s="86"/>
      <c r="T9" s="87"/>
      <c r="U9" s="76"/>
      <c r="V9" s="76"/>
      <c r="W9" s="76"/>
      <c r="X9" s="76"/>
      <c r="Y9" s="76"/>
      <c r="Z9" s="77"/>
    </row>
    <row r="10" spans="1:26">
      <c r="A10" s="74"/>
      <c r="B10" s="74" t="s">
        <v>178</v>
      </c>
      <c r="C10" s="76"/>
      <c r="D10" s="76"/>
      <c r="E10" s="76"/>
      <c r="F10" s="76"/>
      <c r="G10" s="84"/>
      <c r="H10" s="84"/>
      <c r="I10" s="79"/>
      <c r="J10" s="88"/>
      <c r="K10" s="89"/>
      <c r="L10" s="89"/>
      <c r="M10" s="89"/>
      <c r="N10" s="89"/>
      <c r="O10" s="89"/>
      <c r="P10" s="89"/>
      <c r="Q10" s="89"/>
      <c r="R10" s="89"/>
      <c r="S10" s="89"/>
      <c r="T10" s="90"/>
      <c r="U10" s="76"/>
      <c r="V10" s="76"/>
      <c r="W10" s="76"/>
      <c r="X10" s="76"/>
      <c r="Y10" s="76"/>
      <c r="Z10" s="77"/>
    </row>
    <row r="11" ht="13" customHeight="1" spans="1:26">
      <c r="A11" s="74"/>
      <c r="B11" s="74" t="s">
        <v>179</v>
      </c>
      <c r="C11" s="76"/>
      <c r="D11" s="76"/>
      <c r="E11" s="76"/>
      <c r="F11" s="76"/>
      <c r="G11" s="84"/>
      <c r="H11" s="84"/>
      <c r="I11" s="79"/>
      <c r="J11" s="88"/>
      <c r="K11" s="89"/>
      <c r="L11" s="89"/>
      <c r="M11" s="89"/>
      <c r="N11" s="89"/>
      <c r="O11" s="89"/>
      <c r="P11" s="89"/>
      <c r="Q11" s="89"/>
      <c r="R11" s="89"/>
      <c r="S11" s="89"/>
      <c r="T11" s="90"/>
      <c r="U11" s="76"/>
      <c r="V11" s="76"/>
      <c r="W11" s="76"/>
      <c r="X11" s="76"/>
      <c r="Y11" s="76"/>
      <c r="Z11" s="77"/>
    </row>
    <row r="12" spans="1:26">
      <c r="A12" s="74"/>
      <c r="B12" s="74" t="s">
        <v>180</v>
      </c>
      <c r="C12" s="76"/>
      <c r="D12" s="76"/>
      <c r="E12" s="76"/>
      <c r="F12" s="76"/>
      <c r="G12" s="84"/>
      <c r="H12" s="84"/>
      <c r="I12" s="79"/>
      <c r="J12" s="91"/>
      <c r="K12" s="92"/>
      <c r="L12" s="92"/>
      <c r="M12" s="92"/>
      <c r="N12" s="92"/>
      <c r="O12" s="92"/>
      <c r="P12" s="92"/>
      <c r="Q12" s="92"/>
      <c r="R12" s="92"/>
      <c r="S12" s="92"/>
      <c r="T12" s="93"/>
      <c r="U12" s="76"/>
      <c r="V12" s="76"/>
      <c r="W12" s="76"/>
      <c r="X12" s="76"/>
      <c r="Y12" s="76"/>
      <c r="Z12" s="77"/>
    </row>
    <row r="13" spans="1:26">
      <c r="A13" s="74" t="s">
        <v>181</v>
      </c>
      <c r="B13" s="74" t="s">
        <v>124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94" t="s">
        <v>182</v>
      </c>
      <c r="Q13" s="95"/>
      <c r="R13" s="95"/>
      <c r="S13" s="95"/>
      <c r="T13" s="96"/>
      <c r="U13" s="79"/>
      <c r="V13" s="79"/>
      <c r="W13" s="76"/>
      <c r="X13" s="76"/>
      <c r="Y13" s="76"/>
      <c r="Z13" s="77"/>
    </row>
    <row r="14" spans="1:26">
      <c r="A14" s="97" t="s">
        <v>183</v>
      </c>
      <c r="B14" s="74" t="s">
        <v>184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98" t="s">
        <v>184</v>
      </c>
      <c r="Y14" s="76"/>
      <c r="Z14" s="77"/>
    </row>
    <row r="15" spans="1:26">
      <c r="A15" s="99"/>
      <c r="B15" s="74" t="s">
        <v>183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100" t="s">
        <v>183</v>
      </c>
      <c r="Z15" s="77"/>
    </row>
    <row r="16" spans="1:26">
      <c r="Y16" s="100" t="s">
        <v>183</v>
      </c>
      <c r="Z16" s="100" t="s">
        <v>183</v>
      </c>
    </row>
  </sheetData>
  <mergeCells count="12">
    <mergeCell ref="A1:B1"/>
    <mergeCell ref="C1:Z1"/>
    <mergeCell ref="C2:Z2"/>
    <mergeCell ref="J8:M8"/>
    <mergeCell ref="P13:T13"/>
    <mergeCell ref="A2:A3"/>
    <mergeCell ref="A4:A5"/>
    <mergeCell ref="A6:A7"/>
    <mergeCell ref="A9:A12"/>
    <mergeCell ref="A14:A15"/>
    <mergeCell ref="B2:B3"/>
    <mergeCell ref="J9:T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D9" sqref="D9"/>
    </sheetView>
  </sheetViews>
  <sheetFormatPr defaultColWidth="9.02884615384615" defaultRowHeight="16.8"/>
  <cols>
    <col min="1" max="1" width="9.02884615384615" style="32"/>
    <col min="2" max="2" width="13.9423076923077" style="32" customWidth="1"/>
    <col min="4" max="4" width="14.3461538461538" customWidth="1"/>
    <col min="6" max="6" width="11.0288461538462" customWidth="1"/>
    <col min="7" max="7" width="10.9519230769231" customWidth="1"/>
    <col min="8" max="8" width="11.7211538461538"/>
  </cols>
  <sheetData>
    <row r="1" spans="1:12">
      <c r="A1" s="33" t="s">
        <v>185</v>
      </c>
      <c r="B1" s="34"/>
      <c r="C1" s="35" t="s">
        <v>186</v>
      </c>
      <c r="D1" s="36">
        <v>46274</v>
      </c>
      <c r="E1" s="37"/>
      <c r="F1" s="37"/>
      <c r="G1" s="37"/>
      <c r="H1" s="37"/>
      <c r="I1" s="37"/>
      <c r="J1" s="37"/>
      <c r="K1" s="37"/>
      <c r="L1" s="37"/>
    </row>
    <row r="2" spans="1:12">
      <c r="A2" s="38" t="s">
        <v>164</v>
      </c>
      <c r="B2" s="38" t="s">
        <v>165</v>
      </c>
      <c r="C2" s="38" t="s">
        <v>187</v>
      </c>
      <c r="D2" s="38" t="s">
        <v>188</v>
      </c>
      <c r="E2" s="38" t="s">
        <v>189</v>
      </c>
      <c r="F2" s="38" t="s">
        <v>190</v>
      </c>
      <c r="G2" s="38" t="s">
        <v>191</v>
      </c>
      <c r="H2" s="38" t="s">
        <v>192</v>
      </c>
      <c r="I2" s="38" t="s">
        <v>193</v>
      </c>
      <c r="J2" s="38" t="s">
        <v>194</v>
      </c>
      <c r="K2" s="38" t="s">
        <v>195</v>
      </c>
      <c r="L2" s="38" t="s">
        <v>16</v>
      </c>
    </row>
    <row r="3" spans="1:12">
      <c r="A3" s="39"/>
      <c r="B3" s="39"/>
      <c r="C3" s="39"/>
      <c r="D3" s="39"/>
      <c r="E3" s="39"/>
      <c r="F3" s="39"/>
      <c r="G3" s="39" t="s">
        <v>196</v>
      </c>
      <c r="H3" s="39" t="s">
        <v>196</v>
      </c>
      <c r="I3" s="39"/>
      <c r="J3" s="39"/>
      <c r="K3" s="39"/>
      <c r="L3" s="39"/>
    </row>
    <row r="4" spans="1:12">
      <c r="A4" s="40" t="s">
        <v>197</v>
      </c>
      <c r="B4" s="41" t="s">
        <v>198</v>
      </c>
      <c r="C4" s="42" t="s">
        <v>199</v>
      </c>
      <c r="D4" s="42"/>
      <c r="E4" s="42"/>
      <c r="F4" s="42" t="s">
        <v>200</v>
      </c>
      <c r="G4" s="43">
        <v>45939</v>
      </c>
      <c r="H4" s="43">
        <v>45949</v>
      </c>
      <c r="I4" s="44">
        <f>H4-G4</f>
        <v>10</v>
      </c>
      <c r="J4" s="45">
        <f>H4-$D$1</f>
        <v>-325</v>
      </c>
      <c r="K4" s="44" t="s">
        <v>23</v>
      </c>
      <c r="L4" s="46"/>
    </row>
    <row r="5" spans="1:12">
      <c r="A5" s="47"/>
      <c r="B5" s="48"/>
      <c r="C5" s="42" t="s">
        <v>201</v>
      </c>
      <c r="D5" s="42"/>
      <c r="E5" s="42"/>
      <c r="F5" s="42"/>
      <c r="G5" s="43"/>
      <c r="H5" s="43"/>
      <c r="I5" s="44"/>
      <c r="J5" s="45"/>
      <c r="K5" s="44"/>
      <c r="L5" s="46"/>
    </row>
    <row r="6" ht="17" spans="1:12">
      <c r="A6" s="40" t="s">
        <v>97</v>
      </c>
      <c r="B6" s="41" t="s">
        <v>202</v>
      </c>
      <c r="C6" s="42" t="s">
        <v>203</v>
      </c>
      <c r="D6" s="42"/>
      <c r="E6" s="42"/>
      <c r="F6" s="42" t="s">
        <v>200</v>
      </c>
      <c r="G6" s="43"/>
      <c r="H6" s="43"/>
      <c r="I6" s="44">
        <f>H6-G6</f>
        <v>0</v>
      </c>
      <c r="J6" s="45">
        <f>H6-$D$1</f>
        <v>-46274</v>
      </c>
      <c r="K6" s="44" t="s">
        <v>23</v>
      </c>
      <c r="L6" s="46"/>
    </row>
    <row r="7" spans="1:12">
      <c r="A7" s="49" t="s">
        <v>204</v>
      </c>
      <c r="B7" s="50" t="s">
        <v>171</v>
      </c>
      <c r="C7" s="44" t="s">
        <v>205</v>
      </c>
      <c r="D7" s="44" t="s">
        <v>206</v>
      </c>
      <c r="E7" s="44"/>
      <c r="F7" s="44" t="s">
        <v>207</v>
      </c>
      <c r="G7" s="43"/>
      <c r="H7" s="43"/>
      <c r="I7" s="50">
        <f>H7-G7</f>
        <v>0</v>
      </c>
      <c r="J7" s="51">
        <f>H7-$D$1</f>
        <v>-46274</v>
      </c>
      <c r="K7" s="44" t="s">
        <v>23</v>
      </c>
      <c r="L7" s="52"/>
    </row>
    <row r="8" spans="1:12">
      <c r="A8" s="53"/>
      <c r="B8" s="54"/>
      <c r="C8" s="44" t="s">
        <v>208</v>
      </c>
      <c r="D8" s="44" t="s">
        <v>206</v>
      </c>
      <c r="E8" s="44"/>
      <c r="F8" s="44" t="s">
        <v>207</v>
      </c>
      <c r="G8" s="43"/>
      <c r="H8" s="43"/>
      <c r="I8" s="50"/>
      <c r="J8" s="51"/>
      <c r="K8" s="44"/>
      <c r="L8" s="52"/>
    </row>
    <row r="9" spans="1:12">
      <c r="A9" s="53"/>
      <c r="B9" s="55" t="s">
        <v>172</v>
      </c>
      <c r="C9" s="44" t="s">
        <v>205</v>
      </c>
      <c r="D9" s="44" t="s">
        <v>206</v>
      </c>
      <c r="E9" s="44"/>
      <c r="F9" s="44" t="s">
        <v>209</v>
      </c>
      <c r="G9" s="43"/>
      <c r="H9" s="43"/>
      <c r="I9" s="50"/>
      <c r="J9" s="51"/>
      <c r="K9" s="44"/>
      <c r="L9" s="52"/>
    </row>
    <row r="10" spans="1:12">
      <c r="A10" s="56"/>
      <c r="B10" s="54"/>
      <c r="C10" s="44" t="s">
        <v>208</v>
      </c>
      <c r="D10" s="44" t="s">
        <v>206</v>
      </c>
      <c r="E10" s="44"/>
      <c r="F10" s="44" t="s">
        <v>209</v>
      </c>
      <c r="G10" s="43"/>
      <c r="H10" s="43"/>
      <c r="I10" s="50"/>
      <c r="J10" s="51"/>
      <c r="K10" s="44"/>
      <c r="L10" s="52"/>
    </row>
    <row r="11" spans="1:12">
      <c r="A11" s="57" t="s">
        <v>42</v>
      </c>
      <c r="B11" s="44" t="s">
        <v>210</v>
      </c>
      <c r="C11" s="44" t="s">
        <v>205</v>
      </c>
      <c r="D11" s="44" t="s">
        <v>206</v>
      </c>
      <c r="E11" s="44"/>
      <c r="F11" s="44" t="s">
        <v>211</v>
      </c>
      <c r="G11" s="58"/>
      <c r="H11" s="58"/>
      <c r="I11" s="44">
        <f t="shared" ref="I11:I18" si="0">H11-G11</f>
        <v>0</v>
      </c>
      <c r="J11" s="45">
        <f t="shared" ref="J11:J18" si="1">H11-$D$1</f>
        <v>-46274</v>
      </c>
      <c r="K11" s="44" t="s">
        <v>23</v>
      </c>
      <c r="L11" s="52"/>
    </row>
    <row r="12" spans="1:12">
      <c r="A12" s="57"/>
      <c r="B12" s="44"/>
      <c r="C12" s="44"/>
      <c r="D12" s="44" t="s">
        <v>206</v>
      </c>
      <c r="E12" s="44"/>
      <c r="F12" s="44" t="s">
        <v>211</v>
      </c>
      <c r="G12" s="58"/>
      <c r="H12" s="58"/>
      <c r="I12" s="44">
        <f t="shared" si="0"/>
        <v>0</v>
      </c>
      <c r="J12" s="45">
        <f t="shared" si="1"/>
        <v>-46274</v>
      </c>
      <c r="K12" s="44" t="s">
        <v>23</v>
      </c>
      <c r="L12" s="52"/>
    </row>
    <row r="13" spans="1:12">
      <c r="A13" s="57"/>
      <c r="B13" s="44"/>
      <c r="C13" s="44" t="s">
        <v>212</v>
      </c>
      <c r="D13" s="44" t="s">
        <v>206</v>
      </c>
      <c r="E13" s="44"/>
      <c r="F13" s="44" t="s">
        <v>211</v>
      </c>
      <c r="G13" s="58"/>
      <c r="H13" s="58"/>
      <c r="I13" s="44">
        <f t="shared" si="0"/>
        <v>0</v>
      </c>
      <c r="J13" s="45">
        <f t="shared" si="1"/>
        <v>-46274</v>
      </c>
      <c r="K13" s="44" t="s">
        <v>23</v>
      </c>
      <c r="L13" s="52"/>
    </row>
    <row r="14" spans="1:12">
      <c r="A14" s="57"/>
      <c r="B14" s="44"/>
      <c r="C14" s="44"/>
      <c r="D14" s="44" t="s">
        <v>206</v>
      </c>
      <c r="E14" s="44"/>
      <c r="F14" s="44" t="s">
        <v>211</v>
      </c>
      <c r="G14" s="58"/>
      <c r="H14" s="58"/>
      <c r="I14" s="44">
        <f t="shared" si="0"/>
        <v>0</v>
      </c>
      <c r="J14" s="45">
        <f t="shared" si="1"/>
        <v>-46274</v>
      </c>
      <c r="K14" s="44" t="s">
        <v>23</v>
      </c>
      <c r="L14" s="52"/>
    </row>
    <row r="15" spans="1:12">
      <c r="A15" s="57"/>
      <c r="B15" s="44" t="s">
        <v>213</v>
      </c>
      <c r="C15" s="44" t="s">
        <v>214</v>
      </c>
      <c r="D15" s="44" t="s">
        <v>206</v>
      </c>
      <c r="E15" s="44"/>
      <c r="F15" s="44" t="s">
        <v>215</v>
      </c>
      <c r="G15" s="58"/>
      <c r="H15" s="58"/>
      <c r="I15" s="44">
        <f t="shared" si="0"/>
        <v>0</v>
      </c>
      <c r="J15" s="45">
        <f t="shared" si="1"/>
        <v>-46274</v>
      </c>
      <c r="K15" s="44" t="s">
        <v>23</v>
      </c>
      <c r="L15" s="52"/>
    </row>
    <row r="16" spans="1:12">
      <c r="A16" s="57"/>
      <c r="B16" s="44"/>
      <c r="C16" s="44"/>
      <c r="D16" s="44" t="s">
        <v>206</v>
      </c>
      <c r="E16" s="44"/>
      <c r="F16" s="44" t="s">
        <v>215</v>
      </c>
      <c r="G16" s="58"/>
      <c r="H16" s="58"/>
      <c r="I16" s="44">
        <f t="shared" si="0"/>
        <v>0</v>
      </c>
      <c r="J16" s="45">
        <f t="shared" si="1"/>
        <v>-46274</v>
      </c>
      <c r="K16" s="44" t="s">
        <v>23</v>
      </c>
      <c r="L16" s="52"/>
    </row>
    <row r="17" spans="1:12">
      <c r="A17" s="57"/>
      <c r="B17" s="44"/>
      <c r="C17" s="44" t="s">
        <v>214</v>
      </c>
      <c r="D17" s="44" t="s">
        <v>206</v>
      </c>
      <c r="E17" s="44"/>
      <c r="F17" s="44" t="s">
        <v>215</v>
      </c>
      <c r="G17" s="58"/>
      <c r="H17" s="58"/>
      <c r="I17" s="44">
        <f t="shared" si="0"/>
        <v>0</v>
      </c>
      <c r="J17" s="45">
        <f t="shared" si="1"/>
        <v>-46274</v>
      </c>
      <c r="K17" s="44" t="s">
        <v>23</v>
      </c>
      <c r="L17" s="52"/>
    </row>
    <row r="18" spans="1:12">
      <c r="A18" s="57"/>
      <c r="B18" s="44"/>
      <c r="C18" s="44"/>
      <c r="D18" s="44" t="s">
        <v>206</v>
      </c>
      <c r="E18" s="44"/>
      <c r="F18" s="44" t="s">
        <v>215</v>
      </c>
      <c r="G18" s="58"/>
      <c r="H18" s="58"/>
      <c r="I18" s="44">
        <f t="shared" si="0"/>
        <v>0</v>
      </c>
      <c r="J18" s="45">
        <f t="shared" si="1"/>
        <v>-46274</v>
      </c>
      <c r="K18" s="44" t="s">
        <v>23</v>
      </c>
      <c r="L18" s="52"/>
    </row>
    <row r="19" spans="1:12">
      <c r="A19" s="59" t="s">
        <v>124</v>
      </c>
      <c r="B19" s="44" t="s">
        <v>216</v>
      </c>
      <c r="C19" s="44" t="s">
        <v>205</v>
      </c>
      <c r="D19" s="44" t="s">
        <v>206</v>
      </c>
      <c r="E19" s="60"/>
      <c r="F19" s="44" t="s">
        <v>217</v>
      </c>
      <c r="G19" s="61"/>
      <c r="H19" s="61"/>
      <c r="I19" s="62">
        <v>3</v>
      </c>
      <c r="J19" s="45">
        <v>3</v>
      </c>
      <c r="K19" s="44" t="s">
        <v>218</v>
      </c>
      <c r="L19" s="63"/>
    </row>
    <row r="20" spans="1:12">
      <c r="A20" s="59"/>
      <c r="B20" s="44"/>
      <c r="C20" s="44"/>
      <c r="D20" s="44" t="s">
        <v>206</v>
      </c>
      <c r="E20" s="60"/>
      <c r="F20" s="44" t="s">
        <v>217</v>
      </c>
      <c r="G20" s="61"/>
      <c r="H20" s="61"/>
      <c r="I20" s="62"/>
      <c r="J20" s="45"/>
      <c r="K20" s="44" t="s">
        <v>218</v>
      </c>
      <c r="L20" s="63"/>
    </row>
    <row r="21" spans="1:12">
      <c r="A21" s="59"/>
      <c r="B21" s="44"/>
      <c r="C21" s="44" t="s">
        <v>214</v>
      </c>
      <c r="D21" s="44" t="s">
        <v>206</v>
      </c>
      <c r="E21" s="60"/>
      <c r="F21" s="44" t="s">
        <v>217</v>
      </c>
      <c r="G21" s="61"/>
      <c r="H21" s="61"/>
      <c r="I21" s="62"/>
      <c r="J21" s="45"/>
      <c r="K21" s="44" t="s">
        <v>218</v>
      </c>
      <c r="L21" s="63"/>
    </row>
    <row r="22" spans="1:12">
      <c r="A22" s="59"/>
      <c r="B22" s="44"/>
      <c r="C22" s="44"/>
      <c r="D22" s="44" t="s">
        <v>206</v>
      </c>
      <c r="E22" s="60"/>
      <c r="F22" s="44" t="s">
        <v>217</v>
      </c>
      <c r="G22" s="61"/>
      <c r="H22" s="61"/>
      <c r="I22" s="62"/>
      <c r="J22" s="45"/>
      <c r="K22" s="44" t="s">
        <v>218</v>
      </c>
      <c r="L22" s="63"/>
    </row>
    <row r="23" spans="1:12">
      <c r="A23" s="59"/>
      <c r="B23" s="44" t="s">
        <v>124</v>
      </c>
      <c r="C23" s="44" t="s">
        <v>214</v>
      </c>
      <c r="D23" s="44" t="s">
        <v>206</v>
      </c>
      <c r="E23" s="60"/>
      <c r="F23" s="44" t="s">
        <v>217</v>
      </c>
      <c r="G23" s="58"/>
      <c r="H23" s="58"/>
      <c r="I23" s="44">
        <f>H23-G23</f>
        <v>0</v>
      </c>
      <c r="J23" s="45">
        <f>H23-$D$1</f>
        <v>-46274</v>
      </c>
      <c r="K23" s="44" t="s">
        <v>23</v>
      </c>
      <c r="L23" s="63"/>
    </row>
    <row r="24" spans="1:12">
      <c r="A24" s="59"/>
      <c r="B24" s="44"/>
      <c r="C24" s="44"/>
      <c r="D24" s="44" t="s">
        <v>206</v>
      </c>
      <c r="E24" s="60"/>
      <c r="F24" s="44" t="s">
        <v>217</v>
      </c>
      <c r="G24" s="58"/>
      <c r="H24" s="58"/>
      <c r="I24" s="44"/>
      <c r="J24" s="45"/>
      <c r="K24" s="44" t="s">
        <v>23</v>
      </c>
      <c r="L24" s="63"/>
    </row>
    <row r="25" spans="1:12">
      <c r="A25" s="59"/>
      <c r="B25" s="44"/>
      <c r="C25" s="44" t="s">
        <v>214</v>
      </c>
      <c r="D25" s="44" t="s">
        <v>206</v>
      </c>
      <c r="E25" s="60"/>
      <c r="F25" s="44" t="s">
        <v>217</v>
      </c>
      <c r="G25" s="58"/>
      <c r="H25" s="58"/>
      <c r="I25" s="44"/>
      <c r="J25" s="45"/>
      <c r="K25" s="44" t="s">
        <v>23</v>
      </c>
      <c r="L25" s="63"/>
    </row>
    <row r="26" spans="1:12">
      <c r="A26" s="59"/>
      <c r="B26" s="44"/>
      <c r="C26" s="44"/>
      <c r="D26" s="44" t="s">
        <v>206</v>
      </c>
      <c r="E26" s="60"/>
      <c r="F26" s="44" t="s">
        <v>217</v>
      </c>
      <c r="G26" s="58"/>
      <c r="H26" s="58"/>
      <c r="I26" s="44"/>
      <c r="J26" s="45"/>
      <c r="K26" s="44" t="s">
        <v>23</v>
      </c>
      <c r="L26" s="63"/>
    </row>
  </sheetData>
  <mergeCells count="38">
    <mergeCell ref="A1:B1"/>
    <mergeCell ref="A2:A3"/>
    <mergeCell ref="A4:A5"/>
    <mergeCell ref="A7:A10"/>
    <mergeCell ref="A11:A18"/>
    <mergeCell ref="A19:A26"/>
    <mergeCell ref="B2:B3"/>
    <mergeCell ref="B4:B5"/>
    <mergeCell ref="B7:B8"/>
    <mergeCell ref="B9:B10"/>
    <mergeCell ref="B11:B14"/>
    <mergeCell ref="B15:B18"/>
    <mergeCell ref="B19:B22"/>
    <mergeCell ref="B23:B26"/>
    <mergeCell ref="C2:C3"/>
    <mergeCell ref="C11:C12"/>
    <mergeCell ref="C13:C14"/>
    <mergeCell ref="C15:C16"/>
    <mergeCell ref="C17:C18"/>
    <mergeCell ref="C19:C20"/>
    <mergeCell ref="C21:C22"/>
    <mergeCell ref="C23:C24"/>
    <mergeCell ref="C25:C26"/>
    <mergeCell ref="D2:D3"/>
    <mergeCell ref="E2:E3"/>
    <mergeCell ref="F2:F3"/>
    <mergeCell ref="G19:G22"/>
    <mergeCell ref="G23:G26"/>
    <mergeCell ref="H19:H22"/>
    <mergeCell ref="H23:H26"/>
    <mergeCell ref="I2:I3"/>
    <mergeCell ref="I19:I22"/>
    <mergeCell ref="I23:I26"/>
    <mergeCell ref="J2:J3"/>
    <mergeCell ref="J19:J22"/>
    <mergeCell ref="J23:J26"/>
    <mergeCell ref="K2:K3"/>
    <mergeCell ref="L2:L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8"/>
  <sheetViews>
    <sheetView topLeftCell="A7" workbookViewId="0">
      <selection activeCell="A1" sqref="A1:T38"/>
    </sheetView>
  </sheetViews>
  <sheetFormatPr defaultColWidth="9.23076923076923" defaultRowHeight="16.8"/>
  <sheetData>
    <row r="1" spans="1:20">
      <c r="A1" s="6" t="s">
        <v>0</v>
      </c>
      <c r="B1" s="6" t="s">
        <v>3</v>
      </c>
      <c r="C1" s="6" t="s">
        <v>14</v>
      </c>
      <c r="D1" s="7" t="s">
        <v>219</v>
      </c>
      <c r="E1" s="7" t="s">
        <v>220</v>
      </c>
      <c r="F1" s="7" t="s">
        <v>221</v>
      </c>
      <c r="G1" s="7" t="s">
        <v>222</v>
      </c>
      <c r="H1" s="7" t="s">
        <v>223</v>
      </c>
      <c r="I1" s="8" t="s">
        <v>224</v>
      </c>
      <c r="J1" s="8" t="s">
        <v>225</v>
      </c>
      <c r="K1" s="7" t="s">
        <v>226</v>
      </c>
      <c r="L1" s="7" t="s">
        <v>227</v>
      </c>
      <c r="M1" s="7" t="s">
        <v>228</v>
      </c>
      <c r="N1" s="7" t="s">
        <v>229</v>
      </c>
      <c r="O1" s="8" t="s">
        <v>230</v>
      </c>
      <c r="P1" s="8" t="s">
        <v>231</v>
      </c>
      <c r="Q1" s="8" t="s">
        <v>232</v>
      </c>
      <c r="R1" s="7" t="s">
        <v>233</v>
      </c>
      <c r="S1" s="7" t="s">
        <v>234</v>
      </c>
      <c r="T1" s="7" t="s">
        <v>235</v>
      </c>
    </row>
    <row r="2" spans="1:20">
      <c r="A2" s="9"/>
      <c r="B2" s="9"/>
      <c r="C2" s="9"/>
      <c r="D2" s="7" t="s">
        <v>236</v>
      </c>
      <c r="E2" s="7" t="s">
        <v>237</v>
      </c>
      <c r="F2" s="7" t="s">
        <v>238</v>
      </c>
      <c r="G2" s="7" t="s">
        <v>239</v>
      </c>
      <c r="H2" s="7" t="s">
        <v>240</v>
      </c>
      <c r="I2" s="8" t="s">
        <v>241</v>
      </c>
      <c r="J2" s="8" t="s">
        <v>242</v>
      </c>
      <c r="K2" s="7" t="s">
        <v>236</v>
      </c>
      <c r="L2" s="7" t="s">
        <v>237</v>
      </c>
      <c r="M2" s="7" t="s">
        <v>238</v>
      </c>
      <c r="N2" s="7" t="s">
        <v>239</v>
      </c>
      <c r="O2" s="8" t="s">
        <v>243</v>
      </c>
      <c r="P2" s="8" t="s">
        <v>241</v>
      </c>
      <c r="Q2" s="8" t="s">
        <v>242</v>
      </c>
      <c r="R2" s="7" t="s">
        <v>236</v>
      </c>
      <c r="S2" s="7" t="s">
        <v>237</v>
      </c>
      <c r="T2" s="7" t="s">
        <v>238</v>
      </c>
    </row>
    <row r="3" ht="50" spans="1:20">
      <c r="A3" s="10">
        <v>1</v>
      </c>
      <c r="B3" s="11" t="s">
        <v>244</v>
      </c>
      <c r="C3" s="11" t="s">
        <v>245</v>
      </c>
      <c r="D3" s="12"/>
      <c r="E3" s="13"/>
      <c r="F3" s="13"/>
      <c r="G3" s="13"/>
      <c r="H3" s="13"/>
      <c r="I3" s="14"/>
      <c r="J3" s="14"/>
      <c r="K3" s="13"/>
      <c r="L3" s="13"/>
      <c r="M3" s="13"/>
      <c r="N3" s="13"/>
      <c r="O3" s="14"/>
      <c r="P3" s="14"/>
      <c r="Q3" s="14"/>
      <c r="R3" s="13"/>
      <c r="S3" s="13"/>
      <c r="T3" s="13"/>
    </row>
    <row r="4" ht="50" spans="1:20">
      <c r="A4" s="10">
        <v>2</v>
      </c>
      <c r="B4" s="11" t="s">
        <v>246</v>
      </c>
      <c r="C4" s="11" t="s">
        <v>247</v>
      </c>
      <c r="D4" s="15"/>
      <c r="E4" s="15"/>
      <c r="F4" s="13"/>
      <c r="G4" s="13"/>
      <c r="H4" s="13"/>
      <c r="I4" s="14"/>
      <c r="J4" s="14"/>
      <c r="K4" s="13"/>
      <c r="L4" s="13"/>
      <c r="M4" s="13"/>
      <c r="N4" s="13"/>
      <c r="O4" s="14"/>
      <c r="P4" s="14"/>
      <c r="Q4" s="14"/>
      <c r="R4" s="13"/>
      <c r="S4" s="13"/>
      <c r="T4" s="13"/>
    </row>
    <row r="5" ht="50" spans="1:20">
      <c r="A5" s="10">
        <v>3</v>
      </c>
      <c r="B5" s="11" t="s">
        <v>248</v>
      </c>
      <c r="C5" s="11" t="s">
        <v>247</v>
      </c>
      <c r="D5" s="15"/>
      <c r="E5" s="15"/>
      <c r="F5" s="15"/>
      <c r="G5" s="13"/>
      <c r="H5" s="13"/>
      <c r="I5" s="14"/>
      <c r="J5" s="14"/>
      <c r="K5" s="13"/>
      <c r="L5" s="13"/>
      <c r="M5" s="13"/>
      <c r="N5" s="13"/>
      <c r="O5" s="14"/>
      <c r="P5" s="14"/>
      <c r="Q5" s="14"/>
      <c r="R5" s="13"/>
      <c r="S5" s="13"/>
      <c r="T5" s="13"/>
    </row>
    <row r="6" ht="62" spans="1:20">
      <c r="A6" s="10">
        <v>4</v>
      </c>
      <c r="B6" s="11" t="s">
        <v>249</v>
      </c>
      <c r="C6" s="11" t="s">
        <v>250</v>
      </c>
      <c r="D6" s="16"/>
      <c r="E6" s="16"/>
      <c r="F6" s="13"/>
      <c r="G6" s="13"/>
      <c r="H6" s="13"/>
      <c r="I6" s="14"/>
      <c r="J6" s="14"/>
      <c r="K6" s="13"/>
      <c r="L6" s="13"/>
      <c r="M6" s="13"/>
      <c r="N6" s="13"/>
      <c r="O6" s="14"/>
      <c r="P6" s="14"/>
      <c r="Q6" s="14"/>
      <c r="R6" s="13"/>
      <c r="S6" s="13"/>
      <c r="T6" s="13"/>
    </row>
    <row r="7" ht="75" spans="1:20">
      <c r="A7" s="10">
        <v>5</v>
      </c>
      <c r="B7" s="11" t="s">
        <v>251</v>
      </c>
      <c r="C7" s="11" t="s">
        <v>250</v>
      </c>
      <c r="D7" s="17"/>
      <c r="E7" s="17"/>
      <c r="F7" s="17"/>
      <c r="G7" s="17"/>
      <c r="H7" s="13"/>
      <c r="I7" s="14"/>
      <c r="J7" s="14"/>
      <c r="K7" s="13"/>
      <c r="L7" s="13"/>
      <c r="M7" s="13"/>
      <c r="N7" s="13"/>
      <c r="O7" s="14"/>
      <c r="P7" s="14"/>
      <c r="Q7" s="14"/>
      <c r="R7" s="13"/>
      <c r="S7" s="13"/>
      <c r="T7" s="13"/>
    </row>
    <row r="8" ht="87" spans="1:20">
      <c r="A8" s="10">
        <v>6</v>
      </c>
      <c r="B8" s="11" t="s">
        <v>252</v>
      </c>
      <c r="C8" s="11" t="s">
        <v>250</v>
      </c>
      <c r="D8" s="13"/>
      <c r="E8" s="17"/>
      <c r="F8" s="17"/>
      <c r="G8" s="17"/>
      <c r="H8" s="13"/>
      <c r="I8" s="14"/>
      <c r="J8" s="14"/>
      <c r="K8" s="13"/>
      <c r="L8" s="13"/>
      <c r="M8" s="13"/>
      <c r="N8" s="13"/>
      <c r="O8" s="14"/>
      <c r="P8" s="14"/>
      <c r="Q8" s="14"/>
      <c r="R8" s="13"/>
      <c r="S8" s="13"/>
      <c r="T8" s="13"/>
    </row>
    <row r="9" ht="50" spans="1:20">
      <c r="A9" s="10">
        <v>7</v>
      </c>
      <c r="B9" s="11" t="s">
        <v>253</v>
      </c>
      <c r="C9" s="11" t="s">
        <v>250</v>
      </c>
      <c r="D9" s="13"/>
      <c r="E9" s="13"/>
      <c r="F9" s="17"/>
      <c r="G9" s="17"/>
      <c r="H9" s="17"/>
      <c r="I9" s="14"/>
      <c r="J9" s="14"/>
      <c r="K9" s="13"/>
      <c r="L9" s="13"/>
      <c r="M9" s="13"/>
      <c r="N9" s="13"/>
      <c r="O9" s="14"/>
      <c r="P9" s="14"/>
      <c r="Q9" s="14"/>
      <c r="R9" s="13"/>
      <c r="S9" s="13"/>
      <c r="T9" s="13"/>
    </row>
    <row r="10" ht="75" spans="1:20">
      <c r="A10" s="10">
        <v>8</v>
      </c>
      <c r="B10" s="11" t="s">
        <v>254</v>
      </c>
      <c r="C10" s="11" t="s">
        <v>255</v>
      </c>
      <c r="D10" s="13"/>
      <c r="E10" s="17"/>
      <c r="F10" s="17"/>
      <c r="G10" s="17"/>
      <c r="H10" s="17"/>
      <c r="I10" s="17"/>
      <c r="J10" s="17"/>
      <c r="K10" s="17"/>
      <c r="L10" s="17"/>
      <c r="M10" s="13"/>
      <c r="N10" s="13"/>
      <c r="O10" s="14"/>
      <c r="P10" s="14"/>
      <c r="Q10" s="14"/>
      <c r="R10" s="13"/>
      <c r="S10" s="13"/>
      <c r="T10" s="13"/>
    </row>
    <row r="11" ht="75" spans="1:20">
      <c r="A11" s="10">
        <v>9</v>
      </c>
      <c r="B11" s="11" t="s">
        <v>256</v>
      </c>
      <c r="C11" s="11" t="s">
        <v>257</v>
      </c>
      <c r="D11" s="16"/>
      <c r="E11" s="16"/>
      <c r="F11" s="16"/>
      <c r="G11" s="16"/>
      <c r="H11" s="16"/>
      <c r="I11" s="14"/>
      <c r="J11" s="14"/>
      <c r="K11" s="13"/>
      <c r="L11" s="13"/>
      <c r="M11" s="13"/>
      <c r="N11" s="13"/>
      <c r="O11" s="14"/>
      <c r="P11" s="14"/>
      <c r="Q11" s="14"/>
      <c r="R11" s="13"/>
      <c r="S11" s="13"/>
      <c r="T11" s="13"/>
    </row>
    <row r="12" ht="62" spans="1:20">
      <c r="A12" s="10">
        <v>10</v>
      </c>
      <c r="B12" s="11" t="s">
        <v>258</v>
      </c>
      <c r="C12" s="11" t="s">
        <v>250</v>
      </c>
      <c r="D12" s="13"/>
      <c r="E12" s="16"/>
      <c r="F12" s="16"/>
      <c r="G12" s="16"/>
      <c r="H12" s="16"/>
      <c r="I12" s="14"/>
      <c r="J12" s="14"/>
      <c r="K12" s="13"/>
      <c r="L12" s="13"/>
      <c r="M12" s="13"/>
      <c r="N12" s="13"/>
      <c r="O12" s="14"/>
      <c r="P12" s="14"/>
      <c r="Q12" s="14"/>
      <c r="R12" s="13"/>
      <c r="S12" s="13"/>
      <c r="T12" s="13"/>
    </row>
    <row r="13" ht="25" spans="1:20">
      <c r="A13" s="10">
        <v>11</v>
      </c>
      <c r="B13" s="11" t="s">
        <v>259</v>
      </c>
      <c r="C13" s="11" t="s">
        <v>250</v>
      </c>
      <c r="D13" s="13"/>
      <c r="E13" s="13"/>
      <c r="F13" s="16"/>
      <c r="G13" s="16"/>
      <c r="H13" s="16"/>
      <c r="I13" s="14"/>
      <c r="J13" s="14"/>
      <c r="K13" s="13"/>
      <c r="L13" s="13"/>
      <c r="M13" s="13"/>
      <c r="N13" s="13"/>
      <c r="O13" s="14"/>
      <c r="P13" s="14"/>
      <c r="Q13" s="14"/>
      <c r="R13" s="13"/>
      <c r="S13" s="13"/>
      <c r="T13" s="13"/>
    </row>
    <row r="14" ht="50" spans="1:20">
      <c r="A14" s="10">
        <v>12</v>
      </c>
      <c r="B14" s="11" t="s">
        <v>260</v>
      </c>
      <c r="C14" s="11" t="s">
        <v>250</v>
      </c>
      <c r="D14" s="13"/>
      <c r="E14" s="13"/>
      <c r="F14" s="16"/>
      <c r="G14" s="16"/>
      <c r="H14" s="16"/>
      <c r="I14" s="14"/>
      <c r="J14" s="14"/>
      <c r="K14" s="13"/>
      <c r="L14" s="13"/>
      <c r="M14" s="13"/>
      <c r="N14" s="13"/>
      <c r="O14" s="14"/>
      <c r="P14" s="14"/>
      <c r="Q14" s="14"/>
      <c r="R14" s="13"/>
      <c r="S14" s="13"/>
      <c r="T14" s="13"/>
    </row>
    <row r="15" ht="50" spans="1:20">
      <c r="A15" s="10">
        <v>13</v>
      </c>
      <c r="B15" s="11" t="s">
        <v>261</v>
      </c>
      <c r="C15" s="11" t="s">
        <v>250</v>
      </c>
      <c r="D15" s="13"/>
      <c r="E15" s="13"/>
      <c r="F15" s="13"/>
      <c r="G15" s="16"/>
      <c r="H15" s="16"/>
      <c r="I15" s="14"/>
      <c r="J15" s="14"/>
      <c r="K15" s="13"/>
      <c r="L15" s="13"/>
      <c r="M15" s="13"/>
      <c r="N15" s="13"/>
      <c r="O15" s="14"/>
      <c r="P15" s="14"/>
      <c r="Q15" s="14"/>
      <c r="R15" s="13"/>
      <c r="S15" s="13"/>
      <c r="T15" s="13"/>
    </row>
    <row r="16" ht="50" spans="1:20">
      <c r="A16" s="10">
        <v>14</v>
      </c>
      <c r="B16" s="11" t="s">
        <v>262</v>
      </c>
      <c r="C16" s="11" t="s">
        <v>263</v>
      </c>
      <c r="D16" s="18"/>
      <c r="E16" s="18"/>
      <c r="F16" s="18"/>
      <c r="G16" s="18"/>
      <c r="H16" s="13"/>
      <c r="I16" s="14"/>
      <c r="J16" s="14"/>
      <c r="K16" s="13"/>
      <c r="L16" s="13"/>
      <c r="M16" s="13"/>
      <c r="N16" s="13"/>
      <c r="O16" s="14"/>
      <c r="P16" s="14"/>
      <c r="Q16" s="14"/>
      <c r="R16" s="13"/>
      <c r="S16" s="13"/>
      <c r="T16" s="13"/>
    </row>
    <row r="17" ht="38" spans="1:20">
      <c r="A17" s="10">
        <v>15</v>
      </c>
      <c r="B17" s="11" t="s">
        <v>264</v>
      </c>
      <c r="C17" s="11" t="s">
        <v>263</v>
      </c>
      <c r="D17" s="13"/>
      <c r="E17" s="13"/>
      <c r="F17" s="18"/>
      <c r="G17" s="18"/>
      <c r="H17" s="18"/>
      <c r="I17" s="18"/>
      <c r="J17" s="18"/>
      <c r="K17" s="18"/>
      <c r="L17" s="13"/>
      <c r="M17" s="13"/>
      <c r="N17" s="13"/>
      <c r="O17" s="14"/>
      <c r="P17" s="14"/>
      <c r="Q17" s="14"/>
      <c r="R17" s="13"/>
      <c r="S17" s="13"/>
      <c r="T17" s="13"/>
    </row>
    <row r="18" ht="50" spans="1:20">
      <c r="A18" s="10">
        <v>16</v>
      </c>
      <c r="B18" s="11" t="s">
        <v>265</v>
      </c>
      <c r="C18" s="11" t="s">
        <v>266</v>
      </c>
      <c r="D18" s="13"/>
      <c r="E18" s="13"/>
      <c r="F18" s="13"/>
      <c r="G18" s="13"/>
      <c r="H18" s="19"/>
      <c r="I18" s="19"/>
      <c r="J18" s="19"/>
      <c r="K18" s="19"/>
      <c r="L18" s="19"/>
      <c r="M18" s="19"/>
      <c r="N18" s="13"/>
      <c r="O18" s="14"/>
      <c r="P18" s="14"/>
      <c r="Q18" s="14"/>
      <c r="R18" s="13"/>
      <c r="S18" s="13"/>
      <c r="T18" s="13"/>
    </row>
    <row r="19" ht="62" spans="1:20">
      <c r="A19" s="10">
        <v>17</v>
      </c>
      <c r="B19" s="11" t="s">
        <v>267</v>
      </c>
      <c r="C19" s="11" t="s">
        <v>247</v>
      </c>
      <c r="D19" s="13"/>
      <c r="E19" s="13"/>
      <c r="F19" s="13"/>
      <c r="G19" s="13"/>
      <c r="H19" s="13"/>
      <c r="I19" s="14"/>
      <c r="J19" s="14"/>
      <c r="K19" s="19"/>
      <c r="L19" s="19"/>
      <c r="M19" s="19"/>
      <c r="N19" s="13"/>
      <c r="O19" s="14"/>
      <c r="P19" s="14"/>
      <c r="Q19" s="14"/>
      <c r="R19" s="13"/>
      <c r="S19" s="13"/>
      <c r="T19" s="13"/>
    </row>
    <row r="20" ht="75" spans="1:20">
      <c r="A20" s="10">
        <v>18</v>
      </c>
      <c r="B20" s="11" t="s">
        <v>268</v>
      </c>
      <c r="C20" s="11" t="s">
        <v>263</v>
      </c>
      <c r="D20" s="13"/>
      <c r="E20" s="13"/>
      <c r="F20" s="13"/>
      <c r="G20" s="13"/>
      <c r="H20" s="13"/>
      <c r="I20" s="14"/>
      <c r="J20" s="14"/>
      <c r="K20" s="18"/>
      <c r="L20" s="18"/>
      <c r="M20" s="18"/>
      <c r="N20" s="13"/>
      <c r="O20" s="14"/>
      <c r="P20" s="14"/>
      <c r="Q20" s="14"/>
      <c r="R20" s="13"/>
      <c r="S20" s="13"/>
      <c r="T20" s="13"/>
    </row>
    <row r="21" ht="50" spans="1:20">
      <c r="A21" s="10">
        <v>19</v>
      </c>
      <c r="B21" s="11" t="s">
        <v>269</v>
      </c>
      <c r="C21" s="11" t="s">
        <v>270</v>
      </c>
      <c r="D21" s="13"/>
      <c r="E21" s="13"/>
      <c r="F21" s="13"/>
      <c r="G21" s="13"/>
      <c r="H21" s="13"/>
      <c r="I21" s="14"/>
      <c r="J21" s="14"/>
      <c r="K21" s="20"/>
      <c r="L21" s="20"/>
      <c r="M21" s="20"/>
      <c r="N21" s="20"/>
      <c r="O21" s="14"/>
      <c r="P21" s="14"/>
      <c r="Q21" s="14"/>
      <c r="R21" s="13"/>
      <c r="S21" s="13"/>
      <c r="T21" s="13"/>
    </row>
    <row r="22" ht="62" spans="1:20">
      <c r="A22" s="10">
        <v>20</v>
      </c>
      <c r="B22" s="11" t="s">
        <v>271</v>
      </c>
      <c r="C22" s="11" t="s">
        <v>250</v>
      </c>
      <c r="D22" s="13"/>
      <c r="E22" s="13"/>
      <c r="F22" s="13"/>
      <c r="G22" s="13"/>
      <c r="H22" s="13"/>
      <c r="I22" s="14"/>
      <c r="J22" s="14"/>
      <c r="K22" s="20"/>
      <c r="L22" s="20"/>
      <c r="M22" s="20"/>
      <c r="N22" s="20"/>
      <c r="O22" s="20"/>
      <c r="P22" s="14"/>
      <c r="Q22" s="14"/>
      <c r="R22" s="13"/>
      <c r="S22" s="13"/>
      <c r="T22" s="13"/>
    </row>
    <row r="23" ht="38" spans="1:20">
      <c r="A23" s="10">
        <v>21</v>
      </c>
      <c r="B23" s="11" t="s">
        <v>119</v>
      </c>
      <c r="C23" s="11" t="s">
        <v>255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14"/>
      <c r="P23" s="14"/>
      <c r="Q23" s="14"/>
      <c r="R23" s="13"/>
      <c r="S23" s="13"/>
      <c r="T23" s="13"/>
    </row>
    <row r="24" ht="38" spans="1:20">
      <c r="A24" s="10">
        <v>22</v>
      </c>
      <c r="B24" s="11" t="s">
        <v>272</v>
      </c>
      <c r="C24" s="11" t="s">
        <v>273</v>
      </c>
      <c r="D24" s="13"/>
      <c r="E24" s="13"/>
      <c r="F24" s="13"/>
      <c r="G24" s="13"/>
      <c r="H24" s="13"/>
      <c r="I24" s="14"/>
      <c r="J24" s="14"/>
      <c r="K24" s="13"/>
      <c r="L24" s="13"/>
      <c r="M24" s="21"/>
      <c r="N24" s="21"/>
      <c r="O24" s="21"/>
      <c r="P24" s="14"/>
      <c r="Q24" s="14"/>
      <c r="R24" s="13"/>
      <c r="S24" s="13"/>
      <c r="T24" s="13"/>
    </row>
    <row r="25" ht="38" spans="1:20">
      <c r="A25" s="10">
        <v>23</v>
      </c>
      <c r="B25" s="11" t="s">
        <v>130</v>
      </c>
      <c r="C25" s="11" t="s">
        <v>247</v>
      </c>
      <c r="D25" s="13"/>
      <c r="E25" s="13"/>
      <c r="F25" s="13"/>
      <c r="G25" s="13"/>
      <c r="H25" s="13"/>
      <c r="I25" s="14"/>
      <c r="J25" s="14"/>
      <c r="K25" s="13"/>
      <c r="L25" s="13"/>
      <c r="M25" s="22"/>
      <c r="N25" s="22"/>
      <c r="O25" s="22"/>
      <c r="P25" s="14"/>
      <c r="Q25" s="14"/>
      <c r="R25" s="13"/>
      <c r="S25" s="13"/>
      <c r="T25" s="13"/>
    </row>
    <row r="26" ht="62" spans="1:20">
      <c r="A26" s="10">
        <v>24</v>
      </c>
      <c r="B26" s="11" t="s">
        <v>274</v>
      </c>
      <c r="C26" s="11" t="s">
        <v>270</v>
      </c>
      <c r="D26" s="13"/>
      <c r="E26" s="13"/>
      <c r="F26" s="13"/>
      <c r="G26" s="13"/>
      <c r="H26" s="13"/>
      <c r="I26" s="14"/>
      <c r="J26" s="14"/>
      <c r="K26" s="13"/>
      <c r="L26" s="13"/>
      <c r="M26" s="13"/>
      <c r="N26" s="23"/>
      <c r="O26" s="23"/>
      <c r="P26" s="23"/>
      <c r="Q26" s="23"/>
      <c r="R26" s="23"/>
      <c r="S26" s="23"/>
      <c r="T26" s="13"/>
    </row>
    <row r="27" ht="38" spans="1:20">
      <c r="A27" s="10">
        <v>25</v>
      </c>
      <c r="B27" s="11" t="s">
        <v>275</v>
      </c>
      <c r="C27" s="11" t="s">
        <v>276</v>
      </c>
      <c r="D27" s="13"/>
      <c r="E27" s="13"/>
      <c r="F27" s="13"/>
      <c r="G27" s="13"/>
      <c r="H27" s="13"/>
      <c r="I27" s="14"/>
      <c r="J27" s="14"/>
      <c r="K27" s="13"/>
      <c r="L27" s="13"/>
      <c r="M27" s="13"/>
      <c r="N27" s="13"/>
      <c r="O27" s="24"/>
      <c r="P27" s="24"/>
      <c r="Q27" s="24"/>
      <c r="R27" s="24"/>
      <c r="S27" s="24"/>
      <c r="T27" s="13"/>
    </row>
    <row r="28" ht="38" spans="1:20">
      <c r="A28" s="10">
        <v>26</v>
      </c>
      <c r="B28" s="11" t="s">
        <v>277</v>
      </c>
      <c r="C28" s="11" t="s">
        <v>278</v>
      </c>
      <c r="D28" s="13"/>
      <c r="E28" s="13"/>
      <c r="F28" s="13"/>
      <c r="G28" s="13"/>
      <c r="H28" s="13"/>
      <c r="I28" s="14"/>
      <c r="J28" s="14"/>
      <c r="K28" s="13"/>
      <c r="L28" s="13"/>
      <c r="M28" s="13"/>
      <c r="N28" s="13"/>
      <c r="O28" s="14"/>
      <c r="P28" s="14"/>
      <c r="Q28" s="14"/>
      <c r="R28" s="21"/>
      <c r="S28" s="21"/>
      <c r="T28" s="13"/>
    </row>
    <row r="29" ht="38" spans="1:20">
      <c r="A29" s="10">
        <v>27</v>
      </c>
      <c r="B29" s="11" t="s">
        <v>279</v>
      </c>
      <c r="C29" s="11" t="s">
        <v>280</v>
      </c>
      <c r="D29" s="13"/>
      <c r="E29" s="13"/>
      <c r="F29" s="13"/>
      <c r="G29" s="13"/>
      <c r="H29" s="13"/>
      <c r="I29" s="14"/>
      <c r="J29" s="14"/>
      <c r="K29" s="13"/>
      <c r="L29" s="13"/>
      <c r="M29" s="13"/>
      <c r="N29" s="13"/>
      <c r="O29" s="14"/>
      <c r="P29" s="14"/>
      <c r="Q29" s="14"/>
      <c r="R29" s="24"/>
      <c r="S29" s="24"/>
      <c r="T29" s="13"/>
    </row>
    <row r="30" ht="25" spans="1:20">
      <c r="A30" s="10">
        <v>28</v>
      </c>
      <c r="B30" s="11" t="s">
        <v>281</v>
      </c>
      <c r="C30" s="11" t="s">
        <v>245</v>
      </c>
      <c r="D30" s="13"/>
      <c r="E30" s="13"/>
      <c r="F30" s="13"/>
      <c r="G30" s="13"/>
      <c r="H30" s="13"/>
      <c r="I30" s="14"/>
      <c r="J30" s="14"/>
      <c r="K30" s="13"/>
      <c r="L30" s="13"/>
      <c r="M30" s="13"/>
      <c r="N30" s="13"/>
      <c r="O30" s="14"/>
      <c r="P30" s="14"/>
      <c r="Q30" s="14"/>
      <c r="R30" s="13"/>
      <c r="S30" s="13"/>
      <c r="T30" s="24"/>
    </row>
    <row r="31" ht="38" spans="1:20">
      <c r="A31" s="10">
        <v>29</v>
      </c>
      <c r="B31" s="11" t="s">
        <v>282</v>
      </c>
      <c r="C31" s="11" t="s">
        <v>245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2"/>
      <c r="B33" s="25" t="s">
        <v>283</v>
      </c>
      <c r="C33" s="2"/>
      <c r="D33" s="26"/>
      <c r="E33" s="26"/>
      <c r="F33" s="26"/>
      <c r="G33" s="26"/>
      <c r="H33" s="27" t="s">
        <v>284</v>
      </c>
      <c r="I33" s="26"/>
      <c r="J33" s="26"/>
      <c r="K33" s="26"/>
      <c r="L33" s="26"/>
      <c r="M33" s="27" t="s">
        <v>284</v>
      </c>
      <c r="N33" s="27" t="s">
        <v>284</v>
      </c>
      <c r="O33" s="27" t="s">
        <v>284</v>
      </c>
      <c r="P33" s="26"/>
      <c r="Q33" s="26"/>
      <c r="R33" s="26"/>
      <c r="S33" s="27" t="s">
        <v>284</v>
      </c>
      <c r="T33" s="27" t="s">
        <v>284</v>
      </c>
    </row>
    <row r="34" spans="1:20">
      <c r="A34" s="2"/>
      <c r="B34" s="28" t="s">
        <v>285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2"/>
      <c r="B36" s="29" t="s">
        <v>286</v>
      </c>
      <c r="C36" s="12"/>
      <c r="D36" s="30" t="s">
        <v>17</v>
      </c>
      <c r="E36" s="15"/>
      <c r="F36" s="30" t="s">
        <v>27</v>
      </c>
      <c r="G36" s="17"/>
      <c r="H36" s="30" t="s">
        <v>41</v>
      </c>
      <c r="I36" s="16"/>
      <c r="J36" s="30" t="s">
        <v>37</v>
      </c>
      <c r="K36" s="18"/>
      <c r="L36" s="30" t="s">
        <v>86</v>
      </c>
      <c r="M36" s="19"/>
      <c r="N36" s="30" t="s">
        <v>96</v>
      </c>
      <c r="O36" s="20"/>
      <c r="P36" s="30" t="s">
        <v>107</v>
      </c>
      <c r="Q36" s="2"/>
      <c r="R36" s="2"/>
      <c r="S36" s="2"/>
      <c r="T36" s="2"/>
    </row>
    <row r="37" spans="1:20">
      <c r="A37" s="2"/>
      <c r="B37" s="2"/>
      <c r="C37" s="21"/>
      <c r="D37" s="30" t="s">
        <v>124</v>
      </c>
      <c r="E37" s="22"/>
      <c r="F37" s="30" t="s">
        <v>129</v>
      </c>
      <c r="G37" s="23"/>
      <c r="H37" s="30" t="s">
        <v>134</v>
      </c>
      <c r="I37" s="24"/>
      <c r="J37" s="30" t="s">
        <v>140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2"/>
      <c r="B38" s="31" t="s">
        <v>287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</sheetData>
  <mergeCells count="4">
    <mergeCell ref="B34:T34"/>
    <mergeCell ref="A1:A2"/>
    <mergeCell ref="B1:B2"/>
    <mergeCell ref="C1:C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workbookViewId="0">
      <selection activeCell="A4" sqref="A4"/>
    </sheetView>
  </sheetViews>
  <sheetFormatPr defaultColWidth="9.23076923076923" defaultRowHeight="16.8" outlineLevelCol="1"/>
  <cols>
    <col min="1" max="1" width="28.6730769230769" customWidth="1"/>
    <col min="2" max="2" width="174.673076923077" customWidth="1"/>
  </cols>
  <sheetData>
    <row r="1" ht="17.6" spans="1:2">
      <c r="A1" s="1" t="s">
        <v>288</v>
      </c>
      <c r="B1" s="2"/>
    </row>
    <row r="2" spans="1:2">
      <c r="A2" s="3" t="s">
        <v>289</v>
      </c>
      <c r="B2" s="2"/>
    </row>
    <row r="3" spans="1:2">
      <c r="A3" s="4" t="s">
        <v>290</v>
      </c>
      <c r="B3" s="5" t="s">
        <v>291</v>
      </c>
    </row>
    <row r="4" ht="28" spans="1:2">
      <c r="A4" s="4" t="s">
        <v>292</v>
      </c>
      <c r="B4" s="5" t="s">
        <v>293</v>
      </c>
    </row>
    <row r="5" ht="28" spans="1:2">
      <c r="A5" s="4" t="s">
        <v>294</v>
      </c>
      <c r="B5" s="5" t="s">
        <v>295</v>
      </c>
    </row>
    <row r="6" ht="28" spans="1:2">
      <c r="A6" s="4" t="s">
        <v>296</v>
      </c>
      <c r="B6" s="5" t="s">
        <v>297</v>
      </c>
    </row>
    <row r="7" spans="1:2">
      <c r="A7" s="4" t="s">
        <v>298</v>
      </c>
      <c r="B7" s="5" t="s">
        <v>299</v>
      </c>
    </row>
    <row r="8" spans="1:2">
      <c r="A8" s="3" t="s">
        <v>300</v>
      </c>
      <c r="B8" s="2"/>
    </row>
    <row r="9" ht="28" spans="1:2">
      <c r="A9" s="4" t="s">
        <v>301</v>
      </c>
      <c r="B9" s="5" t="s">
        <v>302</v>
      </c>
    </row>
    <row r="10" ht="42" spans="1:2">
      <c r="A10" s="4" t="s">
        <v>303</v>
      </c>
      <c r="B10" s="5" t="s">
        <v>304</v>
      </c>
    </row>
    <row r="11" ht="28" spans="1:2">
      <c r="A11" s="4" t="s">
        <v>305</v>
      </c>
      <c r="B11" s="5" t="s">
        <v>306</v>
      </c>
    </row>
    <row r="12" ht="28" spans="1:2">
      <c r="A12" s="4" t="s">
        <v>307</v>
      </c>
      <c r="B12" s="5" t="s">
        <v>308</v>
      </c>
    </row>
    <row r="13" spans="1:2">
      <c r="A13" s="3" t="s">
        <v>309</v>
      </c>
      <c r="B13" s="2"/>
    </row>
    <row r="14" spans="1:2">
      <c r="A14" s="4" t="s">
        <v>310</v>
      </c>
      <c r="B14" s="5" t="s">
        <v>311</v>
      </c>
    </row>
    <row r="15" spans="1:2">
      <c r="A15" s="4" t="s">
        <v>312</v>
      </c>
      <c r="B15" s="5" t="s">
        <v>313</v>
      </c>
    </row>
    <row r="16" spans="1:2">
      <c r="A16" s="4" t="s">
        <v>263</v>
      </c>
      <c r="B16" s="5" t="s">
        <v>314</v>
      </c>
    </row>
    <row r="17" spans="1:2">
      <c r="A17" s="4" t="s">
        <v>315</v>
      </c>
      <c r="B17" s="5" t="s">
        <v>316</v>
      </c>
    </row>
    <row r="18" spans="1:2">
      <c r="A18" s="4" t="s">
        <v>273</v>
      </c>
      <c r="B18" s="5" t="s">
        <v>317</v>
      </c>
    </row>
    <row r="19" spans="1:2">
      <c r="A19" s="3" t="s">
        <v>318</v>
      </c>
      <c r="B19" s="2"/>
    </row>
    <row r="20" spans="1:2">
      <c r="A20" s="4" t="s">
        <v>319</v>
      </c>
      <c r="B20" s="5" t="s">
        <v>320</v>
      </c>
    </row>
    <row r="21" spans="1:2">
      <c r="A21" s="4" t="s">
        <v>321</v>
      </c>
      <c r="B21" s="5" t="s">
        <v>322</v>
      </c>
    </row>
    <row r="22" spans="1:2">
      <c r="A22" s="4" t="s">
        <v>323</v>
      </c>
      <c r="B22" s="5" t="s">
        <v>324</v>
      </c>
    </row>
    <row r="23" spans="1:2">
      <c r="A23" s="4" t="s">
        <v>325</v>
      </c>
      <c r="B23" s="5" t="s">
        <v>326</v>
      </c>
    </row>
    <row r="24" spans="1:2">
      <c r="A24" s="4" t="s">
        <v>327</v>
      </c>
      <c r="B24" s="5" t="s">
        <v>328</v>
      </c>
    </row>
    <row r="25" spans="1:2">
      <c r="A25" s="4" t="s">
        <v>329</v>
      </c>
      <c r="B25" s="5" t="s">
        <v>330</v>
      </c>
    </row>
    <row r="26" spans="1:2">
      <c r="A26" s="3" t="s">
        <v>331</v>
      </c>
      <c r="B26" s="2"/>
    </row>
    <row r="27" spans="1:2">
      <c r="A27" s="4" t="s">
        <v>332</v>
      </c>
      <c r="B27" s="5" t="s">
        <v>333</v>
      </c>
    </row>
    <row r="28" spans="1:2">
      <c r="A28" s="4" t="s">
        <v>334</v>
      </c>
      <c r="B28" s="5" t="s">
        <v>335</v>
      </c>
    </row>
    <row r="29" spans="1:2">
      <c r="A29" s="4" t="s">
        <v>336</v>
      </c>
      <c r="B29" s="5" t="s">
        <v>337</v>
      </c>
    </row>
    <row r="30" spans="1:2">
      <c r="A30" s="4" t="s">
        <v>338</v>
      </c>
      <c r="B30" s="5" t="s">
        <v>339</v>
      </c>
    </row>
    <row r="31" spans="1:2">
      <c r="A31" s="4" t="s">
        <v>340</v>
      </c>
      <c r="B31" s="5" t="s">
        <v>341</v>
      </c>
    </row>
    <row r="32" spans="1:2">
      <c r="A32" s="4" t="s">
        <v>342</v>
      </c>
      <c r="B32" s="5" t="s">
        <v>343</v>
      </c>
    </row>
    <row r="33" spans="1:2">
      <c r="A33" s="4" t="s">
        <v>344</v>
      </c>
      <c r="B33" s="5" t="s">
        <v>345</v>
      </c>
    </row>
    <row r="34" spans="1:2">
      <c r="A34" s="3" t="s">
        <v>346</v>
      </c>
      <c r="B34" s="2"/>
    </row>
    <row r="35" ht="28" spans="1:2">
      <c r="A35" s="4" t="s">
        <v>347</v>
      </c>
      <c r="B35" s="5" t="s">
        <v>348</v>
      </c>
    </row>
    <row r="36" spans="1:2">
      <c r="A36" s="4" t="s">
        <v>349</v>
      </c>
      <c r="B36" s="5" t="s">
        <v>350</v>
      </c>
    </row>
    <row r="37" ht="28" spans="1:2">
      <c r="A37" s="4" t="s">
        <v>351</v>
      </c>
      <c r="B37" s="5" t="s">
        <v>352</v>
      </c>
    </row>
    <row r="38" spans="1:2">
      <c r="A38" s="4" t="s">
        <v>353</v>
      </c>
      <c r="B38" s="5" t="s">
        <v>354</v>
      </c>
    </row>
  </sheetData>
  <mergeCells count="7">
    <mergeCell ref="A1:B1"/>
    <mergeCell ref="A2:B2"/>
    <mergeCell ref="A8:B8"/>
    <mergeCell ref="A13:B13"/>
    <mergeCell ref="A19:B19"/>
    <mergeCell ref="A26:B26"/>
    <mergeCell ref="A34:B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POC排期表</vt:lpstr>
      <vt:lpstr>poc-项目计划</vt:lpstr>
      <vt:lpstr>poc-开发计划</vt:lpstr>
      <vt:lpstr>甘特图</vt:lpstr>
      <vt:lpstr>说明与口径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☆Over♚lord℡★</cp:lastModifiedBy>
  <dcterms:created xsi:type="dcterms:W3CDTF">2026-09-10T07:00:00Z</dcterms:created>
  <dcterms:modified xsi:type="dcterms:W3CDTF">2026-09-14T13:43:47Z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8B780DB8089412794F21A16A263BDDF1_42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