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zhengchao\Documents\Codex\2026-08-27\ji\outputs\01a042c3-1c3a-7ed0-879f-15e34088bb37\"/>
    </mc:Choice>
  </mc:AlternateContent>
  <xr:revisionPtr revIDLastSave="0" documentId="13_ncr:1_{57CFD282-28D4-4020-A908-CBB138E99391}" xr6:coauthVersionLast="47" xr6:coauthVersionMax="47" xr10:uidLastSave="{00000000-0000-0000-0000-000000000000}"/>
  <bookViews>
    <workbookView xWindow="-98" yWindow="-98" windowWidth="19396" windowHeight="11475" xr2:uid="{00000000-000D-0000-FFFF-FFFF00000000}"/>
  </bookViews>
  <sheets>
    <sheet name="招标技术参数" sheetId="1" r:id="rId1"/>
    <sheet name="模型接入基线" sheetId="2" r:id="rId2"/>
    <sheet name="待确认参数" sheetId="3" r:id="rId3"/>
    <sheet name="填写说明"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4" l="1"/>
  <c r="B9" i="4"/>
  <c r="B8" i="4"/>
  <c r="B7" i="4"/>
  <c r="B6" i="4"/>
  <c r="B5" i="4"/>
</calcChain>
</file>

<file path=xl/sharedStrings.xml><?xml version="1.0" encoding="utf-8"?>
<sst xmlns="http://schemas.openxmlformats.org/spreadsheetml/2006/main" count="296" uniqueCount="193">
  <si>
    <t>一级分类</t>
  </si>
  <si>
    <t>技术要求</t>
  </si>
  <si>
    <t>响应结论</t>
  </si>
  <si>
    <t>项目范围与总体要求</t>
  </si>
  <si>
    <t>建设一套面向航空发动机多场景无损检测与失效分析的智能质检系统，覆盖孔探、红外成像、X射线（DR）、荧光渗透、金相组织和断口识别等能力。</t>
  </si>
  <si>
    <t>未填写</t>
  </si>
  <si>
    <t>生产运行环境应支持内网私有化部署，检测图像、测量数据、知识文档、日志及报告不得未经授权离开指定安全域。</t>
  </si>
  <si>
    <t>系统设计应采用松耦合、组件化和可替换架构，不限定特定厂商产品；满足能力要求的同类组件可替换。</t>
  </si>
  <si>
    <t>系统应支持与现有检测管理系统、MES或其他业务系统进行标准接口集成，并提供接口文档。</t>
  </si>
  <si>
    <t>系统界面、报告和运维文档应采用中文，专业英文缩写首次出现时给出中文解释。</t>
  </si>
  <si>
    <t>B-01</t>
  </si>
  <si>
    <t>总体架构与部署要求</t>
  </si>
  <si>
    <t>系统应形成交互层、编排智能体层、知识增强层、工具接入层和资源层的分层架构，编排层不得与具体模型接口硬编码耦合。</t>
  </si>
  <si>
    <t>B-02</t>
  </si>
  <si>
    <t>所有检测模型、知识检索和外部工具调用应经统一接入与治理层完成鉴权、路由、限流、熔断、审计和观测。</t>
  </si>
  <si>
    <t>B-03</t>
  </si>
  <si>
    <t>开发联调环境与内网生产环境应采用可迁移部署方案，支持容器化部署；如采购人具备容器编排平台，应支持在其环境运行。</t>
  </si>
  <si>
    <t>B-04</t>
  </si>
  <si>
    <t>系统应支持离线安装与升级，核心功能不得依赖公网在线服务；确需联网的组件须在投标文件中单独说明。</t>
  </si>
  <si>
    <t>B-05</t>
  </si>
  <si>
    <t>应用、模型服务、知识检索、数据库、对象存储和日志组件应可独立部署、扩缩容和健康检查。</t>
  </si>
  <si>
    <t>B-06</t>
  </si>
  <si>
    <t>系统配置应与程序分离，模型、知识源、阈值、路由和接口配置变更应支持受控生效并留存版本。</t>
  </si>
  <si>
    <t>B-07</t>
  </si>
  <si>
    <t>投标人应给出推荐的开发、测试和生产资源配置，并标明最低配置、推荐配置及扩容原则。</t>
  </si>
  <si>
    <t>多智能体编排与任务流程</t>
  </si>
  <si>
    <t>系统应支持任务理解、计划生成、工具选择、模型调用、结果表达、质量复核和报告归档的端到端闭环。</t>
  </si>
  <si>
    <t>编排流程应支持计划-执行-表达-复核等职责分离，职责名称可等价实现，但须支持各环节独立配置、监控和重试。</t>
  </si>
  <si>
    <t>任务路由应优先依据检测场景、输入条件和能力注册信息进行确定性匹配，不得仅依赖大模型自由判断。</t>
  </si>
  <si>
    <t>系统应支持单场景任务及单部件多场景串并行组合，支持按目视/非破坏、内部检测、破坏性分析等条件逐级下钻。</t>
  </si>
  <si>
    <t>在模型、知识库或外部工具超时、失败、返回空结果或格式异常时，流程应给出可理解的错误信息并支持重试、降级或转人工处理。</t>
  </si>
  <si>
    <t>质检SOP、判级规则、提示模板和报告模板应支持配置化管理、版本控制与授权发布。</t>
  </si>
  <si>
    <t>高严重度、低置信度、规则冲突或模型不可用等情形应可触发人工复核，复核意见应进入最终结论并留痕。</t>
  </si>
  <si>
    <t>模型接入、适配与能力注册</t>
  </si>
  <si>
    <t>系统应支持HTTP API、仅模型文件/容器、本地软件操作三类接入形态，并通过适配器统一为平台可调用工具。</t>
  </si>
  <si>
    <t>对于仅提供模型文件或容器的模型，应支持封装为标准推理服务，提供健康检查、超时、重试、并发限制和错误码。</t>
  </si>
  <si>
    <t>对于本地软件型X射线能力，应支持文件投放、任务状态管理、结果回收和失败恢复；具备接口条件时可扩展为CLI或HTTP方式。</t>
  </si>
  <si>
    <t>模型和知识检索工具应支持开放、标准化的工具描述与调用协议；不得以封闭协议阻碍后续扩展。</t>
  </si>
  <si>
    <t>应建设能力注册中心，至少记录模型ID、名称、版本、检测场景、提供方、可用状态、输入要求、输出类型、严重度体系、服务地址、认证方式、并发限制、超时和资源需求。</t>
  </si>
  <si>
    <t>能力注册信息应支持增删改查、启停、版本切换、健康状态更新、备用模型配置和变更审计。</t>
  </si>
  <si>
    <t>系统应在模型调用前校验必备输入；红外场景须校验辐射值CSV，X射线场景须校验参考图及标定信息，缺失时不得发起无效调用。</t>
  </si>
  <si>
    <t>统一接口应支持请求标识、任务标识、模型版本、时间戳、输入摘要、调用状态、耗时、错误码和输出数据的关联。</t>
  </si>
  <si>
    <t>应提供模型准入模板和适配开发指南，便于后续新增检测模型时不改动核心编排逻辑。</t>
  </si>
  <si>
    <t>结果归一、联合判级与报告</t>
  </si>
  <si>
    <t>系统应区分缺陷检测、定量测量和模式分类三类输出，不得以单一固定结构丢失专业模型原始结果。</t>
  </si>
  <si>
    <t>缺陷检测类结果应至少支持缺陷类别、位置（bbox或mask）、置信度、测量值、原始严重度、统一严重度及证据图。</t>
  </si>
  <si>
    <t>严重度主标尺应支持四级（轻微、中等、严重、危急）配置；原三级/四级体系通过可审计规则映射。</t>
  </si>
  <si>
    <t>对无严重度的组织定量分析和断口分类结果，应使用专门通道表达，不得强制映射或虚构严重度。</t>
  </si>
  <si>
    <t>系统应支持同一部件多场景结果汇总、冲突提示、联合判级和结论说明；联合规则须可配置并可追溯到版本。</t>
  </si>
  <si>
    <t>最终报告应包含任务信息、输入清单、模型及版本、缺陷/测量结果、严重度、知识解读、引用来源、人工复核、生成时间和唯一追踪标识。</t>
  </si>
  <si>
    <t>报告模板应可配置，支持结构化数据接口输出，并保留原始模型结果与归一结果的关联关系。</t>
  </si>
  <si>
    <t>本地知识库与知识增强</t>
  </si>
  <si>
    <t>应建设内网本地知识库，支持期刊、内部检测报告、维修手册、判级标准和历史案例等多源资料的解析、切分、索引、检索和版本管理。</t>
  </si>
  <si>
    <t>知识增强应以检测方法、部位、缺陷类型、严重度、置信度、测量值、晶粒度或相占比等勘察参数生成检索条件。</t>
  </si>
  <si>
    <t>系统生成指标解读、成因分析或处置建议时，应标注可核验的知识来源；未检索到可靠依据时应明确提示，不得生成无来源的确定性结论。</t>
  </si>
  <si>
    <t>知识检索应支持关键词、语义及元数据过滤的组合检索，并支持按资料类型、时间、权限或有效状态过滤。</t>
  </si>
  <si>
    <t>网页期刊采集仅限采购人书面授权范围，应支持采集任务、频率控制、失败重试、断点续采和过程日志，不得绕过访问控制。</t>
  </si>
  <si>
    <t>网页采集与内容解析应解耦，页面规则变化时可通过配置或独立解析模块调整，不影响已入库数据。</t>
  </si>
  <si>
    <t>采集内容应保留标题、作者、摘要、正文、来源链接、发布时间、采集时间等元数据，并支持清洗去噪、去重和增量更新。</t>
  </si>
  <si>
    <t>知识数据、索引、向量及引用片段应全部保存在指定内网环境，访问应受权限控制并记录审计日志。</t>
  </si>
  <si>
    <t>应提供知识质量维护功能，包括失效标记、重复内容处理、人工纠错、重建索引和召回效果评估。</t>
  </si>
  <si>
    <t>业务交互与人工复核</t>
  </si>
  <si>
    <t>检测人员应可创建任务、选择或自动识别检测场景、上传所需文件、查看进度、结果、知识解读和报告。</t>
  </si>
  <si>
    <t>系统应对输入文件格式、大小、完整性和必要元数据进行校验，并给出明确的补正提示。</t>
  </si>
  <si>
    <t>任务状态至少应覆盖待执行、执行中、待复核、已完成、失败、已取消等，并保留状态变化时间和操作者。</t>
  </si>
  <si>
    <t>复核人员应可查看原图、模型标注、原始输出、归一结果、知识依据和历史操作，并可确认、修改或退回。</t>
  </si>
  <si>
    <t>系统应支持按任务、部件、检测场景、缺陷类型、严重度、日期和复核状态查询与统计。</t>
  </si>
  <si>
    <t>界面应对危急结果、低置信度、输入缺失、规则冲突和调用失败进行显著提示。</t>
  </si>
  <si>
    <t>安全、权限、审计与运维</t>
  </si>
  <si>
    <t>系统应支持用户、角色和权限管理，实现检测、复核、配置、运维和审计等职责分离；可按采购人要求对接统一身份认证。</t>
  </si>
  <si>
    <t>关键操作应记录审计日志，包括登录、任务提交、模型调用、规则变更、知识入库、报告生成、人工复核、数据导出和管理员操作。</t>
  </si>
  <si>
    <t>每个结论应可追溯到原始输入、模型版本、参数、置信度、适配过程、知识来源、规则版本和人工复核记录。</t>
  </si>
  <si>
    <t>系统应提供运行监控和告警，覆盖服务健康、任务量、成功率、耗时、模型/工具调用、资源利用和异常信息。</t>
  </si>
  <si>
    <t>敏感配置和凭据不得以明文写入代码或普通配置文件；传输、存储及备份安全措施应符合采购人制度。</t>
  </si>
  <si>
    <t>系统应支持数据备份、恢复和灾难恢复演练；具体RPO、RTO和留存周期由采购人确认。</t>
  </si>
  <si>
    <t>系统应提供日志归档、检索、导出和留存策略配置，不得因日志失控影响业务运行。</t>
  </si>
  <si>
    <t>应提供系统自检、健康检查、故障定位、配置备份和一键采集诊断信息等运维能力。</t>
  </si>
  <si>
    <t>性能、可靠性与兼容性</t>
  </si>
  <si>
    <t>系统应支持并发数、队列长度、超时、重试、限流和熔断参数配置；最终指标以采购人确认的性能基线为准。</t>
  </si>
  <si>
    <t>任务应支持异步执行和状态查询，长耗时模型或本地软件调用不得阻塞其他任务。</t>
  </si>
  <si>
    <t>任务、接口和适配器应具备幂等或防重复机制，网络重试不得造成重复检测、重复归档或错误覆盖。</t>
  </si>
  <si>
    <t>单个模型或知识服务故障不应导致平台整体不可用；系统应隔离故障并保留其他可用能力。</t>
  </si>
  <si>
    <t>应支持主流浏览器访问；服务器端操作系统、数据库和中间件兼容范围应在投标文件中明确。</t>
  </si>
  <si>
    <t>系统升级应支持版本检查、备份、回退和兼容性验证，升级过程及结果应留痕。</t>
  </si>
  <si>
    <t>实施计划与项目管理</t>
  </si>
  <si>
    <t>项目目标周期为4个月，投标人应提交与该周期匹配的详细计划、关键路径、资源投入和风险应对；最终起止时间以合同为准。</t>
  </si>
  <si>
    <t>第1月应完成环境与平台骨架部署，启动已具备HTTP接口的模型接入、X射线桥接预研及网页期刊采集预研。</t>
  </si>
  <si>
    <t>第2月应完成模型文件服务化、能力注册、结果归一、X射线桥接和知识增强主链路，形成单场景闭环。</t>
  </si>
  <si>
    <t>第3月应完成多场景联合质检、判级SOP、统一治理与开发联调环境整体联调。</t>
  </si>
  <si>
    <t>第4月应完成内网私有化迁移、采集能力内网化、监控审计、人工复核、试运行和验收材料。</t>
  </si>
  <si>
    <t>投标人应识别并管理模型交付延期、GPU未定、本地软件桥接、页面规则变化、授权边界和环境差异等风险。</t>
  </si>
  <si>
    <t>投标人应配置项目负责人/架构、智能体与后端、模型集成、知识工程/采集、测试运维等必要角色，并保证核心人员稳定。</t>
  </si>
  <si>
    <t>测试、验收与交付物</t>
  </si>
  <si>
    <t>验收应至少覆盖功能、接口、数据归一、判级规则、知识检索与引用、人工复核、安全权限、审计追溯、性能可靠性、部署迁移和文档培训。</t>
  </si>
  <si>
    <t>应对6个模型接入对象逐一进行接口、异常、结果完整性和追溯测试；受外部模型延期影响的对象须按合同约定采用模拟件或后补验收。</t>
  </si>
  <si>
    <t>应提供可复现的验收环境、测试数据清单、测试脚本或操作步骤、预期结果和实际结果。</t>
  </si>
  <si>
    <t>交付物应包括需求规格、总体/详细设计、部署包及配置、源代码或合同约定的可维护交付件、接口文档、数据字典、模型准入模板、测试报告、验收报告和运维手册。</t>
  </si>
  <si>
    <t>应提供管理员、运维人员、检测人员和复核人员培训，并交付培训材料和操作录像或等效材料。</t>
  </si>
  <si>
    <t>投标人须明确第三方组件、开源软件和商业许可清单，不得交付存在已知高危漏洞或不清晰授权的组件。</t>
  </si>
  <si>
    <t>质保期、响应时限、驻场/远程支持、缺陷等级和升级服务由商务条款确定；技术投标文件应给出服务方案。</t>
  </si>
  <si>
    <t>待集成检测能力基线</t>
  </si>
  <si>
    <t>用于界定平台集成范围；具体模型版本、接口、算力与可用时间以采购人最终移交清单为准。</t>
  </si>
  <si>
    <t>序号</t>
  </si>
  <si>
    <t>检测场景</t>
  </si>
  <si>
    <t>能力类型</t>
  </si>
  <si>
    <t>当前服务形态</t>
  </si>
  <si>
    <t>输入/输出基线</t>
  </si>
  <si>
    <t>集成边界与验收关注点</t>
  </si>
  <si>
    <t>孔探</t>
  </si>
  <si>
    <t>缺陷检测</t>
  </si>
  <si>
    <t>模型文件/容器</t>
  </si>
  <si>
    <t>图像输入；输出缺陷类别、bbox、置信度及原三级严重度</t>
  </si>
  <si>
    <t>投标人负责服务封装、统一接口与四级主标尺映射；模型本体及样例数据由采购人协调提供。</t>
  </si>
  <si>
    <t>红外成像</t>
  </si>
  <si>
    <t>HTTP API</t>
  </si>
  <si>
    <t>红外图像+辐射值CSV；输出类别、bbox、置信度及原四级严重度</t>
  </si>
  <si>
    <t>须在调用前校验CSV；GPU配置、模型可用时间和性能指标以最终接口资料为准。</t>
  </si>
  <si>
    <t>X射线（DR）</t>
  </si>
  <si>
    <t>定量测量</t>
  </si>
  <si>
    <t>本地软件</t>
  </si>
  <si>
    <t>待测图+参考图+标定信息；输出mask/关键点、二维坐标、dx/dy（mm）和趋势</t>
  </si>
  <si>
    <t>须提供文件/进程桥接与状态管理；不强制套用缺陷严重度，按定量分析结果输出。</t>
  </si>
  <si>
    <t>荧光渗透</t>
  </si>
  <si>
    <t>模型文件/规划API</t>
  </si>
  <si>
    <t>图像输入；输出bbox/mask、置信度、面积（mm²）、长度（mm）及原三级严重度</t>
  </si>
  <si>
    <t>投标人负责服务化和统一接口；接口以最终交付件为准。</t>
  </si>
  <si>
    <t>金相组织</t>
  </si>
  <si>
    <t>定量分析</t>
  </si>
  <si>
    <t>金相图像；输出相组织分割、定量统计、晶粒度级别和相占比</t>
  </si>
  <si>
    <t>按定量分析通道处理，输出专业指标与引用依据，不强制生成缺陷严重度。</t>
  </si>
  <si>
    <t>断口识别</t>
  </si>
  <si>
    <t>模式分类</t>
  </si>
  <si>
    <t>断口图像；输出疲劳、沿晶、解理、韧窝等断裂模式</t>
  </si>
  <si>
    <t>按分类通道处理；无定位、测量及严重度时应保持字段为空并清晰说明。</t>
  </si>
  <si>
    <t>招标前需由采购人确认的参数</t>
  </si>
  <si>
    <t>源方案未给出明确数值或边界的事项集中在本表确认，确认后再固化到正式招标文件。黄色列由采购人填写。</t>
  </si>
  <si>
    <t>编号</t>
  </si>
  <si>
    <t>确认主题</t>
  </si>
  <si>
    <t>需确认内容</t>
  </si>
  <si>
    <t>采购人填写值</t>
  </si>
  <si>
    <t>备注</t>
  </si>
  <si>
    <t>部署资源</t>
  </si>
  <si>
    <t>内网服务器、CPU/GPU型号与数量、存储容量、操作系统、容器平台及网络分区。</t>
  </si>
  <si>
    <t>并发与性能</t>
  </si>
  <si>
    <t>任务并发数、单任务最大文件量/大小、各场景响应时间、批处理吞吐量及峰值负载。</t>
  </si>
  <si>
    <t>模型交付条件</t>
  </si>
  <si>
    <t>6个模型的最终版本、接口资料、容器/权重、样例数据、授权方式、GPU依赖及可用日期。</t>
  </si>
  <si>
    <t>质检判级规则</t>
  </si>
  <si>
    <t>四级主标尺定义、原模型到主标尺映射、联合判级SOP、置信度阈值及人工复核触发条件。</t>
  </si>
  <si>
    <t>知识库规模</t>
  </si>
  <si>
    <t>期刊、内部报告、维修手册、标准和历史案例的初始数量、格式、增量频率及权限分级。</t>
  </si>
  <si>
    <t>网页采集边界</t>
  </si>
  <si>
    <t>可采集站点/栏目、账号与访问条件、授权范围、抓取频率、保存字段、版权与使用边界。</t>
  </si>
  <si>
    <t>接口范围</t>
  </si>
  <si>
    <t>需对接的MES、检测管理系统、统一身份认证、文件服务、消息服务及报告归档系统。</t>
  </si>
  <si>
    <t>B-08</t>
  </si>
  <si>
    <t>安全与审计</t>
  </si>
  <si>
    <t>账号体系、等保/密评要求、日志留存周期、数据分级、备份恢复目标RPO/RTO及密码算法要求。</t>
  </si>
  <si>
    <t>B-09</t>
  </si>
  <si>
    <t>验收样本</t>
  </si>
  <si>
    <t>各场景验收数据集、标注真值、抽样规则、准确率/召回率口径及可接受偏差。</t>
  </si>
  <si>
    <t>B-10</t>
  </si>
  <si>
    <t>项目边界</t>
  </si>
  <si>
    <t>是否包含模型再训练、标注服务、硬件采购、云资源费用、第三方软件许可及各承研单位配合成本。</t>
  </si>
  <si>
    <t>招标参数表填写说明</t>
  </si>
  <si>
    <t>主表中的黄色区域为可填写区域；“响应结论”使用下拉选项，其他栏目按实际情况填写。统计卡片会随主表更新。</t>
  </si>
  <si>
    <t>统计项</t>
  </si>
  <si>
    <t>数量</t>
  </si>
  <si>
    <t>含义</t>
  </si>
  <si>
    <t>参数总数</t>
  </si>
  <si>
    <t>尚未完成响应</t>
  </si>
  <si>
    <t>★实质性要求</t>
  </si>
  <si>
    <t>满足</t>
  </si>
  <si>
    <t>完全满足参数要求</t>
  </si>
  <si>
    <t>▲重要要求</t>
  </si>
  <si>
    <t>优于</t>
  </si>
  <si>
    <t>满足且存在可核验的优于项</t>
  </si>
  <si>
    <t>一般要求</t>
  </si>
  <si>
    <t>负偏离</t>
  </si>
  <si>
    <t>不能完全满足，须说明影响与替代方案</t>
  </si>
  <si>
    <t>已响应</t>
  </si>
  <si>
    <t>不适用</t>
  </si>
  <si>
    <t>经采购人确认该条款不适用于本项目</t>
  </si>
  <si>
    <t>填写要求</t>
  </si>
  <si>
    <t>1. 投标人应逐条选择响应结论，不得仅填写“详见方案”。</t>
  </si>
  <si>
    <t>2. “实现说明”应说明实现方式、主要组件、配置位置及可演示内容。</t>
  </si>
  <si>
    <t>3. 存在任何不完全满足的情况，应在“偏离说明”中明确影响、替代方案和风险。</t>
  </si>
  <si>
    <t>4. “证明材料/页码”应填写投标文件中的材料名称、章节或页码，便于评审核查。</t>
  </si>
  <si>
    <t>5. 专业检测模型由采购人或承研单位按约定提供；投标人需明确模型文件、接口、样例数据、算力与授权等前置依赖。</t>
  </si>
  <si>
    <t>6. 本表依据《质检智能体技术方案_去品牌优化版_画眉图版.docx》整理，正式发布前应完成采购、法务、安全和技术审定。</t>
  </si>
  <si>
    <r>
      <rPr>
        <sz val="10"/>
        <color rgb="FF1F2937"/>
        <rFont val="微软雅黑"/>
        <family val="2"/>
        <charset val="134"/>
      </rPr>
      <t>系统应统一编排采购人提供或协调提供的</t>
    </r>
    <r>
      <rPr>
        <sz val="10"/>
        <color rgb="FF1F2937"/>
        <rFont val="Arial"/>
        <family val="2"/>
      </rPr>
      <t>6</t>
    </r>
    <r>
      <rPr>
        <sz val="10"/>
        <color rgb="FF1F2937"/>
        <rFont val="微软雅黑"/>
        <family val="2"/>
        <charset val="134"/>
      </rPr>
      <t>个专业检测模型；专业模型再训练、新模型研发及大规模数据标注原则上不在本次集成范围，除非合同另有约定。</t>
    </r>
    <phoneticPr fontId="7" type="noConversion"/>
  </si>
  <si>
    <t>本项目范围应包括智能体编排、统一工具接入、本地知识库、模型适配层、能力注册中心、知识增强、报告生成、人工复核、审计追踪和部署实施。</t>
    <phoneticPr fontId="7" type="noConversion"/>
  </si>
  <si>
    <t>项目范围与总体要求</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</si>
</sst>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8"/>
      <color rgb="FFFFFFFF"/>
      <name val="Carlito"/>
    </font>
    <font>
      <sz val="10"/>
      <color rgb="FF667085"/>
      <name val="Carlito"/>
    </font>
    <font>
      <b/>
      <sz val="10"/>
      <color rgb="FF17365D"/>
      <name val="Carlito"/>
    </font>
    <font>
      <sz val="10"/>
      <color rgb="FF1F2937"/>
      <name val="Carlito"/>
    </font>
    <font>
      <b/>
      <sz val="12"/>
      <color rgb="FF17365D"/>
      <name val="Carlito"/>
    </font>
    <font>
      <sz val="11"/>
      <name val="Carlito"/>
    </font>
    <font>
      <sz val="9"/>
      <name val="宋体"/>
      <family val="3"/>
      <charset val="134"/>
    </font>
    <font>
      <sz val="10"/>
      <color rgb="FF1F2937"/>
      <name val="微软雅黑"/>
      <family val="2"/>
      <charset val="134"/>
    </font>
    <font>
      <sz val="10"/>
      <color rgb="FF1F2937"/>
      <name val="Arial"/>
      <family val="2"/>
    </font>
    <font>
      <sz val="10"/>
      <color rgb="FF1F2937"/>
      <name val="Carlito"/>
      <family val="2"/>
      <charset val="134"/>
    </font>
  </fonts>
  <fills count="7">
    <fill>
      <patternFill patternType="none"/>
    </fill>
    <fill>
      <patternFill patternType="gray125"/>
    </fill>
    <fill>
      <patternFill patternType="solid">
        <fgColor rgb="FF17365D"/>
      </patternFill>
    </fill>
    <fill>
      <patternFill patternType="solid">
        <fgColor rgb="FFEDF4FB"/>
      </patternFill>
    </fill>
    <fill>
      <patternFill patternType="solid">
        <fgColor rgb="FFDCE6F1"/>
      </patternFill>
    </fill>
    <fill>
      <patternFill patternType="solid">
        <fgColor rgb="FFFFFBE6"/>
      </patternFill>
    </fill>
    <fill>
      <patternFill patternType="solid">
        <fgColor rgb="FFFFFFFF"/>
      </patternFill>
    </fill>
  </fills>
  <borders count="5">
    <border>
      <left/>
      <right/>
      <top/>
      <bottom/>
      <diagonal/>
    </border>
    <border>
      <left style="thin">
        <color rgb="FFB7C9DA"/>
      </left>
      <right/>
      <top style="thin">
        <color rgb="FFB7C9DA"/>
      </top>
      <bottom style="thin">
        <color rgb="FFB7C9DA"/>
      </bottom>
      <diagonal/>
    </border>
    <border>
      <left/>
      <right/>
      <top style="thin">
        <color rgb="FFB7C9DA"/>
      </top>
      <bottom style="thin">
        <color rgb="FFB7C9DA"/>
      </bottom>
      <diagonal/>
    </border>
    <border>
      <left/>
      <right style="thin">
        <color rgb="FFB7C9DA"/>
      </right>
      <top style="thin">
        <color rgb="FFB7C9DA"/>
      </top>
      <bottom style="thin">
        <color rgb="FFB7C9DA"/>
      </bottom>
      <diagonal/>
    </border>
    <border>
      <left style="thin">
        <color rgb="FFB7C9DA"/>
      </left>
      <right style="thin">
        <color rgb="FFB7C9DA"/>
      </right>
      <top style="thin">
        <color rgb="FFB7C9DA"/>
      </top>
      <bottom style="thin">
        <color rgb="FFB7C9DA"/>
      </bottom>
      <diagonal/>
    </border>
  </borders>
  <cellStyleXfs count="2">
    <xf numFmtId="0" fontId="0" fillId="0" borderId="0"/>
    <xf numFmtId="0" fontId="6" fillId="0" borderId="0"/>
  </cellStyleXfs>
  <cellXfs count="21">
    <xf numFmtId="0" fontId="0" fillId="0" borderId="0" xfId="0"/>
    <xf numFmtId="0" fontId="3" fillId="4" borderId="4" xfId="1" applyFont="1" applyFill="1" applyBorder="1" applyAlignment="1">
      <alignment horizontal="center" vertical="center" wrapText="1"/>
    </xf>
    <xf numFmtId="0" fontId="4" fillId="0" borderId="4" xfId="1" applyFont="1" applyBorder="1" applyAlignment="1">
      <alignment horizontal="left" vertical="center" wrapText="1"/>
    </xf>
    <xf numFmtId="0" fontId="4" fillId="0" borderId="4" xfId="1" applyFont="1" applyBorder="1" applyAlignment="1">
      <alignment horizontal="center" vertical="center" wrapText="1"/>
    </xf>
    <xf numFmtId="0" fontId="4" fillId="5" borderId="4" xfId="1" applyFont="1" applyFill="1" applyBorder="1" applyAlignment="1">
      <alignment horizontal="left" vertical="center" wrapText="1"/>
    </xf>
    <xf numFmtId="0" fontId="3" fillId="0" borderId="4" xfId="1" applyFont="1" applyBorder="1" applyAlignment="1">
      <alignment horizontal="left" vertical="center" wrapText="1"/>
    </xf>
    <xf numFmtId="0" fontId="5" fillId="3" borderId="4" xfId="1" applyFont="1" applyFill="1" applyBorder="1" applyAlignment="1">
      <alignment horizontal="center" vertical="center" wrapText="1"/>
    </xf>
    <xf numFmtId="0" fontId="1" fillId="2" borderId="0" xfId="1" applyFont="1" applyFill="1" applyAlignment="1">
      <alignment horizontal="left" vertical="center" wrapText="1"/>
    </xf>
    <xf numFmtId="0" fontId="2" fillId="3" borderId="1" xfId="1" applyFont="1" applyFill="1" applyBorder="1" applyAlignment="1">
      <alignment horizontal="left" vertical="center" wrapText="1"/>
    </xf>
    <xf numFmtId="0" fontId="2" fillId="3" borderId="2" xfId="1" applyFont="1" applyFill="1" applyBorder="1" applyAlignment="1">
      <alignment horizontal="left" vertical="center" wrapText="1"/>
    </xf>
    <xf numFmtId="0" fontId="2" fillId="3" borderId="3" xfId="1" applyFont="1" applyFill="1" applyBorder="1" applyAlignment="1">
      <alignment horizontal="left" vertical="center" wrapText="1"/>
    </xf>
    <xf numFmtId="0" fontId="3" fillId="4" borderId="4" xfId="1" applyFont="1" applyFill="1" applyBorder="1" applyAlignment="1">
      <alignment horizontal="center" vertical="center" wrapText="1"/>
    </xf>
    <xf numFmtId="0" fontId="4" fillId="6" borderId="1" xfId="1" applyFont="1" applyFill="1" applyBorder="1" applyAlignment="1">
      <alignment horizontal="left" vertical="center" wrapText="1"/>
    </xf>
    <xf numFmtId="0" fontId="4" fillId="6" borderId="2" xfId="1" applyFont="1" applyFill="1" applyBorder="1" applyAlignment="1">
      <alignment horizontal="left" vertical="center" wrapText="1"/>
    </xf>
    <xf numFmtId="0" fontId="4" fillId="6" borderId="3" xfId="1" applyFont="1" applyFill="1" applyBorder="1" applyAlignment="1">
      <alignment horizontal="left" vertical="center" wrapText="1"/>
    </xf>
    <xf numFmtId="0" fontId="4" fillId="3" borderId="1" xfId="1" applyFont="1" applyFill="1" applyBorder="1" applyAlignment="1">
      <alignment horizontal="left" vertical="center" wrapText="1"/>
    </xf>
    <xf numFmtId="0" fontId="4" fillId="3" borderId="2" xfId="1" applyFont="1" applyFill="1" applyBorder="1" applyAlignment="1">
      <alignment horizontal="left" vertical="center" wrapText="1"/>
    </xf>
    <xf numFmtId="0" fontId="4" fillId="3" borderId="3" xfId="1" applyFont="1" applyFill="1" applyBorder="1" applyAlignment="1">
      <alignment horizontal="left" vertical="center" wrapText="1"/>
    </xf>
    <xf numFmtId="0" fontId="10" fillId="0" borderId="4" xfId="1" applyFont="1" applyBorder="1" applyAlignment="1">
      <alignment horizontal="left" vertical="center" wrapText="1"/>
    </xf>
    <xf numFmtId="0" fontId="8" fillId="0" borderId="4" xfId="1" applyFont="1" applyBorder="1" applyAlignment="1">
      <alignment horizontal="left" vertical="center" wrapText="1"/>
    </xf>
    <xf numFmtId="0" fontId="8" fillId="0" borderId="4" xfId="1" applyFont="1" applyBorder="1" applyAlignment="1">
      <alignment horizontal="center"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nderParameterTable" displayName="TenderParameterTable" ref="A1:B81" totalsRowShown="0">
  <autoFilter ref="A1:B81" xr:uid="{00000000-0009-0000-0100-000001000000}"/>
  <tableColumns count="2">
    <tableColumn id="2" xr3:uid="{00000000-0010-0000-0000-000002000000}" name="一级分类"/>
    <tableColumn id="4" xr3:uid="{00000000-0010-0000-0000-000004000000}" name="技术要求"/>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odelBaselineTable" displayName="ModelBaselineTable" ref="A4:F10" totalsRowShown="0">
  <tableColumns count="6">
    <tableColumn id="1" xr3:uid="{00000000-0010-0000-0100-000001000000}" name="序号"/>
    <tableColumn id="2" xr3:uid="{00000000-0010-0000-0100-000002000000}" name="检测场景"/>
    <tableColumn id="3" xr3:uid="{00000000-0010-0000-0100-000003000000}" name="能力类型"/>
    <tableColumn id="4" xr3:uid="{00000000-0010-0000-0100-000004000000}" name="当前服务形态"/>
    <tableColumn id="5" xr3:uid="{00000000-0010-0000-0100-000005000000}" name="输入/输出基线"/>
    <tableColumn id="6" xr3:uid="{00000000-0010-0000-0100-000006000000}" name="集成边界与验收关注点"/>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nfirmationItemsTable" displayName="ConfirmationItemsTable" ref="A4:E14" totalsRowShown="0">
  <tableColumns count="5">
    <tableColumn id="1" xr3:uid="{00000000-0010-0000-0200-000001000000}" name="编号"/>
    <tableColumn id="2" xr3:uid="{00000000-0010-0000-0200-000002000000}" name="确认主题"/>
    <tableColumn id="3" xr3:uid="{00000000-0010-0000-0200-000003000000}" name="需确认内容"/>
    <tableColumn id="4" xr3:uid="{00000000-0010-0000-0200-000004000000}" name="采购人填写值"/>
    <tableColumn id="5" xr3:uid="{00000000-0010-0000-0200-000005000000}" name="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1"/>
  <sheetViews>
    <sheetView showGridLines="0" tabSelected="1" topLeftCell="A2" workbookViewId="0">
      <selection activeCell="B8" sqref="B8"/>
    </sheetView>
  </sheetViews>
  <sheetFormatPr defaultRowHeight="13.5"/>
  <cols>
    <col min="1" max="1" width="21.1875" customWidth="1"/>
    <col min="2" max="2" width="118.125" customWidth="1"/>
    <col min="3" max="3" width="66" customWidth="1"/>
  </cols>
  <sheetData>
    <row r="1" spans="1:2">
      <c r="A1" s="1" t="s">
        <v>0</v>
      </c>
      <c r="B1" s="1" t="s">
        <v>1</v>
      </c>
    </row>
    <row r="2" spans="1:2" ht="25.5">
      <c r="A2" s="3" t="s">
        <v>3</v>
      </c>
      <c r="B2" s="2" t="s">
        <v>4</v>
      </c>
    </row>
    <row r="3" spans="1:2" ht="13.9">
      <c r="A3" s="20" t="s">
        <v>192</v>
      </c>
      <c r="B3" s="19" t="s">
        <v>191</v>
      </c>
    </row>
    <row r="4" spans="1:2" ht="25.5">
      <c r="A4" s="3" t="s">
        <v>3</v>
      </c>
      <c r="B4" s="18" t="s">
        <v>190</v>
      </c>
    </row>
    <row r="5" spans="1:2" ht="25.5">
      <c r="A5" s="3" t="s">
        <v>3</v>
      </c>
      <c r="B5" s="2" t="s">
        <v>6</v>
      </c>
    </row>
    <row r="6" spans="1:2" ht="25.5">
      <c r="A6" s="3" t="s">
        <v>3</v>
      </c>
      <c r="B6" s="2" t="s">
        <v>7</v>
      </c>
    </row>
    <row r="7" spans="1:2" ht="25.5">
      <c r="A7" s="3" t="s">
        <v>3</v>
      </c>
      <c r="B7" s="2" t="s">
        <v>8</v>
      </c>
    </row>
    <row r="8" spans="1:2" ht="25.5">
      <c r="A8" s="3" t="s">
        <v>3</v>
      </c>
      <c r="B8" s="2" t="s">
        <v>9</v>
      </c>
    </row>
    <row r="9" spans="1:2" ht="25.5">
      <c r="A9" s="3" t="s">
        <v>11</v>
      </c>
      <c r="B9" s="2" t="s">
        <v>12</v>
      </c>
    </row>
    <row r="10" spans="1:2" ht="25.5">
      <c r="A10" s="3" t="s">
        <v>11</v>
      </c>
      <c r="B10" s="2" t="s">
        <v>14</v>
      </c>
    </row>
    <row r="11" spans="1:2" ht="25.5">
      <c r="A11" s="3" t="s">
        <v>11</v>
      </c>
      <c r="B11" s="2" t="s">
        <v>16</v>
      </c>
    </row>
    <row r="12" spans="1:2" ht="25.5">
      <c r="A12" s="3" t="s">
        <v>11</v>
      </c>
      <c r="B12" s="2" t="s">
        <v>18</v>
      </c>
    </row>
    <row r="13" spans="1:2" ht="25.5">
      <c r="A13" s="3" t="s">
        <v>11</v>
      </c>
      <c r="B13" s="2" t="s">
        <v>20</v>
      </c>
    </row>
    <row r="14" spans="1:2" ht="25.5">
      <c r="A14" s="3" t="s">
        <v>11</v>
      </c>
      <c r="B14" s="2" t="s">
        <v>22</v>
      </c>
    </row>
    <row r="15" spans="1:2" ht="25.5">
      <c r="A15" s="3" t="s">
        <v>11</v>
      </c>
      <c r="B15" s="2" t="s">
        <v>24</v>
      </c>
    </row>
    <row r="16" spans="1:2" ht="25.5">
      <c r="A16" s="3" t="s">
        <v>25</v>
      </c>
      <c r="B16" s="2" t="s">
        <v>26</v>
      </c>
    </row>
    <row r="17" spans="1:2" ht="25.5">
      <c r="A17" s="3" t="s">
        <v>25</v>
      </c>
      <c r="B17" s="2" t="s">
        <v>27</v>
      </c>
    </row>
    <row r="18" spans="1:2" ht="25.5">
      <c r="A18" s="3" t="s">
        <v>25</v>
      </c>
      <c r="B18" s="2" t="s">
        <v>28</v>
      </c>
    </row>
    <row r="19" spans="1:2" ht="25.5">
      <c r="A19" s="3" t="s">
        <v>25</v>
      </c>
      <c r="B19" s="2" t="s">
        <v>29</v>
      </c>
    </row>
    <row r="20" spans="1:2" ht="25.5">
      <c r="A20" s="3" t="s">
        <v>25</v>
      </c>
      <c r="B20" s="2" t="s">
        <v>30</v>
      </c>
    </row>
    <row r="21" spans="1:2" ht="25.5">
      <c r="A21" s="3" t="s">
        <v>25</v>
      </c>
      <c r="B21" s="2" t="s">
        <v>31</v>
      </c>
    </row>
    <row r="22" spans="1:2" ht="25.5">
      <c r="A22" s="3" t="s">
        <v>25</v>
      </c>
      <c r="B22" s="2" t="s">
        <v>32</v>
      </c>
    </row>
    <row r="23" spans="1:2" ht="25.5">
      <c r="A23" s="3" t="s">
        <v>33</v>
      </c>
      <c r="B23" s="2" t="s">
        <v>34</v>
      </c>
    </row>
    <row r="24" spans="1:2" ht="25.5">
      <c r="A24" s="3" t="s">
        <v>33</v>
      </c>
      <c r="B24" s="2" t="s">
        <v>35</v>
      </c>
    </row>
    <row r="25" spans="1:2" ht="25.5">
      <c r="A25" s="3" t="s">
        <v>33</v>
      </c>
      <c r="B25" s="2" t="s">
        <v>36</v>
      </c>
    </row>
    <row r="26" spans="1:2" ht="25.5">
      <c r="A26" s="3" t="s">
        <v>33</v>
      </c>
      <c r="B26" s="2" t="s">
        <v>37</v>
      </c>
    </row>
    <row r="27" spans="1:2" ht="25.5">
      <c r="A27" s="3" t="s">
        <v>33</v>
      </c>
      <c r="B27" s="2" t="s">
        <v>38</v>
      </c>
    </row>
    <row r="28" spans="1:2" ht="25.5">
      <c r="A28" s="3" t="s">
        <v>33</v>
      </c>
      <c r="B28" s="2" t="s">
        <v>39</v>
      </c>
    </row>
    <row r="29" spans="1:2" ht="25.5">
      <c r="A29" s="3" t="s">
        <v>33</v>
      </c>
      <c r="B29" s="2" t="s">
        <v>40</v>
      </c>
    </row>
    <row r="30" spans="1:2" ht="25.5">
      <c r="A30" s="3" t="s">
        <v>33</v>
      </c>
      <c r="B30" s="2" t="s">
        <v>41</v>
      </c>
    </row>
    <row r="31" spans="1:2" ht="25.5">
      <c r="A31" s="3" t="s">
        <v>33</v>
      </c>
      <c r="B31" s="2" t="s">
        <v>42</v>
      </c>
    </row>
    <row r="32" spans="1:2" ht="25.5">
      <c r="A32" s="3" t="s">
        <v>43</v>
      </c>
      <c r="B32" s="2" t="s">
        <v>44</v>
      </c>
    </row>
    <row r="33" spans="1:2" ht="25.5">
      <c r="A33" s="3" t="s">
        <v>43</v>
      </c>
      <c r="B33" s="2" t="s">
        <v>45</v>
      </c>
    </row>
    <row r="34" spans="1:2" ht="25.5">
      <c r="A34" s="3" t="s">
        <v>43</v>
      </c>
      <c r="B34" s="2" t="s">
        <v>46</v>
      </c>
    </row>
    <row r="35" spans="1:2" ht="25.5">
      <c r="A35" s="3" t="s">
        <v>43</v>
      </c>
      <c r="B35" s="2" t="s">
        <v>47</v>
      </c>
    </row>
    <row r="36" spans="1:2" ht="25.5">
      <c r="A36" s="3" t="s">
        <v>43</v>
      </c>
      <c r="B36" s="2" t="s">
        <v>48</v>
      </c>
    </row>
    <row r="37" spans="1:2" ht="25.5">
      <c r="A37" s="3" t="s">
        <v>43</v>
      </c>
      <c r="B37" s="2" t="s">
        <v>49</v>
      </c>
    </row>
    <row r="38" spans="1:2" ht="25.5">
      <c r="A38" s="3" t="s">
        <v>43</v>
      </c>
      <c r="B38" s="2" t="s">
        <v>50</v>
      </c>
    </row>
    <row r="39" spans="1:2" ht="25.5">
      <c r="A39" s="3" t="s">
        <v>51</v>
      </c>
      <c r="B39" s="2" t="s">
        <v>52</v>
      </c>
    </row>
    <row r="40" spans="1:2" ht="25.5">
      <c r="A40" s="3" t="s">
        <v>51</v>
      </c>
      <c r="B40" s="2" t="s">
        <v>53</v>
      </c>
    </row>
    <row r="41" spans="1:2" ht="25.5">
      <c r="A41" s="3" t="s">
        <v>51</v>
      </c>
      <c r="B41" s="2" t="s">
        <v>54</v>
      </c>
    </row>
    <row r="42" spans="1:2" ht="25.5">
      <c r="A42" s="3" t="s">
        <v>51</v>
      </c>
      <c r="B42" s="2" t="s">
        <v>55</v>
      </c>
    </row>
    <row r="43" spans="1:2" ht="25.5">
      <c r="A43" s="3" t="s">
        <v>51</v>
      </c>
      <c r="B43" s="2" t="s">
        <v>56</v>
      </c>
    </row>
    <row r="44" spans="1:2" ht="25.5">
      <c r="A44" s="3" t="s">
        <v>51</v>
      </c>
      <c r="B44" s="2" t="s">
        <v>57</v>
      </c>
    </row>
    <row r="45" spans="1:2" ht="25.5">
      <c r="A45" s="3" t="s">
        <v>51</v>
      </c>
      <c r="B45" s="2" t="s">
        <v>58</v>
      </c>
    </row>
    <row r="46" spans="1:2" ht="25.5">
      <c r="A46" s="3" t="s">
        <v>51</v>
      </c>
      <c r="B46" s="2" t="s">
        <v>59</v>
      </c>
    </row>
    <row r="47" spans="1:2" ht="25.5">
      <c r="A47" s="3" t="s">
        <v>51</v>
      </c>
      <c r="B47" s="2" t="s">
        <v>60</v>
      </c>
    </row>
    <row r="48" spans="1:2" ht="25.5">
      <c r="A48" s="3" t="s">
        <v>61</v>
      </c>
      <c r="B48" s="2" t="s">
        <v>62</v>
      </c>
    </row>
    <row r="49" spans="1:2" ht="25.5">
      <c r="A49" s="3" t="s">
        <v>61</v>
      </c>
      <c r="B49" s="2" t="s">
        <v>63</v>
      </c>
    </row>
    <row r="50" spans="1:2" ht="25.5">
      <c r="A50" s="3" t="s">
        <v>61</v>
      </c>
      <c r="B50" s="2" t="s">
        <v>64</v>
      </c>
    </row>
    <row r="51" spans="1:2" ht="25.5">
      <c r="A51" s="3" t="s">
        <v>61</v>
      </c>
      <c r="B51" s="2" t="s">
        <v>65</v>
      </c>
    </row>
    <row r="52" spans="1:2" ht="25.5">
      <c r="A52" s="3" t="s">
        <v>61</v>
      </c>
      <c r="B52" s="2" t="s">
        <v>66</v>
      </c>
    </row>
    <row r="53" spans="1:2" ht="25.5">
      <c r="A53" s="3" t="s">
        <v>61</v>
      </c>
      <c r="B53" s="2" t="s">
        <v>67</v>
      </c>
    </row>
    <row r="54" spans="1:2" ht="25.5">
      <c r="A54" s="3" t="s">
        <v>68</v>
      </c>
      <c r="B54" s="2" t="s">
        <v>69</v>
      </c>
    </row>
    <row r="55" spans="1:2" ht="25.5">
      <c r="A55" s="3" t="s">
        <v>68</v>
      </c>
      <c r="B55" s="2" t="s">
        <v>70</v>
      </c>
    </row>
    <row r="56" spans="1:2" ht="25.5">
      <c r="A56" s="3" t="s">
        <v>68</v>
      </c>
      <c r="B56" s="2" t="s">
        <v>71</v>
      </c>
    </row>
    <row r="57" spans="1:2" ht="25.5">
      <c r="A57" s="3" t="s">
        <v>68</v>
      </c>
      <c r="B57" s="2" t="s">
        <v>72</v>
      </c>
    </row>
    <row r="58" spans="1:2" ht="25.5">
      <c r="A58" s="3" t="s">
        <v>68</v>
      </c>
      <c r="B58" s="2" t="s">
        <v>73</v>
      </c>
    </row>
    <row r="59" spans="1:2" ht="25.5">
      <c r="A59" s="3" t="s">
        <v>68</v>
      </c>
      <c r="B59" s="2" t="s">
        <v>74</v>
      </c>
    </row>
    <row r="60" spans="1:2" ht="25.5">
      <c r="A60" s="3" t="s">
        <v>68</v>
      </c>
      <c r="B60" s="2" t="s">
        <v>75</v>
      </c>
    </row>
    <row r="61" spans="1:2" ht="25.5">
      <c r="A61" s="3" t="s">
        <v>68</v>
      </c>
      <c r="B61" s="2" t="s">
        <v>76</v>
      </c>
    </row>
    <row r="62" spans="1:2" ht="25.5">
      <c r="A62" s="3" t="s">
        <v>77</v>
      </c>
      <c r="B62" s="2" t="s">
        <v>78</v>
      </c>
    </row>
    <row r="63" spans="1:2" ht="25.5">
      <c r="A63" s="3" t="s">
        <v>77</v>
      </c>
      <c r="B63" s="2" t="s">
        <v>79</v>
      </c>
    </row>
    <row r="64" spans="1:2" ht="25.5">
      <c r="A64" s="3" t="s">
        <v>77</v>
      </c>
      <c r="B64" s="2" t="s">
        <v>80</v>
      </c>
    </row>
    <row r="65" spans="1:2" ht="25.5">
      <c r="A65" s="3" t="s">
        <v>77</v>
      </c>
      <c r="B65" s="2" t="s">
        <v>81</v>
      </c>
    </row>
    <row r="66" spans="1:2" ht="25.5">
      <c r="A66" s="3" t="s">
        <v>77</v>
      </c>
      <c r="B66" s="2" t="s">
        <v>82</v>
      </c>
    </row>
    <row r="67" spans="1:2" ht="25.5">
      <c r="A67" s="3" t="s">
        <v>77</v>
      </c>
      <c r="B67" s="2" t="s">
        <v>83</v>
      </c>
    </row>
    <row r="68" spans="1:2" ht="25.5">
      <c r="A68" s="3" t="s">
        <v>84</v>
      </c>
      <c r="B68" s="2" t="s">
        <v>85</v>
      </c>
    </row>
    <row r="69" spans="1:2" ht="25.5">
      <c r="A69" s="3" t="s">
        <v>84</v>
      </c>
      <c r="B69" s="2" t="s">
        <v>86</v>
      </c>
    </row>
    <row r="70" spans="1:2" ht="25.5">
      <c r="A70" s="3" t="s">
        <v>84</v>
      </c>
      <c r="B70" s="2" t="s">
        <v>87</v>
      </c>
    </row>
    <row r="71" spans="1:2" ht="25.5">
      <c r="A71" s="3" t="s">
        <v>84</v>
      </c>
      <c r="B71" s="2" t="s">
        <v>88</v>
      </c>
    </row>
    <row r="72" spans="1:2" ht="25.5">
      <c r="A72" s="3" t="s">
        <v>84</v>
      </c>
      <c r="B72" s="2" t="s">
        <v>89</v>
      </c>
    </row>
    <row r="73" spans="1:2" ht="25.5">
      <c r="A73" s="3" t="s">
        <v>84</v>
      </c>
      <c r="B73" s="2" t="s">
        <v>90</v>
      </c>
    </row>
    <row r="74" spans="1:2" ht="25.5">
      <c r="A74" s="3" t="s">
        <v>84</v>
      </c>
      <c r="B74" s="2" t="s">
        <v>91</v>
      </c>
    </row>
    <row r="75" spans="1:2" ht="25.5">
      <c r="A75" s="3" t="s">
        <v>92</v>
      </c>
      <c r="B75" s="2" t="s">
        <v>93</v>
      </c>
    </row>
    <row r="76" spans="1:2" ht="25.5">
      <c r="A76" s="3" t="s">
        <v>92</v>
      </c>
      <c r="B76" s="2" t="s">
        <v>94</v>
      </c>
    </row>
    <row r="77" spans="1:2" ht="25.5">
      <c r="A77" s="3" t="s">
        <v>92</v>
      </c>
      <c r="B77" s="2" t="s">
        <v>95</v>
      </c>
    </row>
    <row r="78" spans="1:2" ht="25.5">
      <c r="A78" s="3" t="s">
        <v>92</v>
      </c>
      <c r="B78" s="2" t="s">
        <v>96</v>
      </c>
    </row>
    <row r="79" spans="1:2" ht="25.5">
      <c r="A79" s="3" t="s">
        <v>92</v>
      </c>
      <c r="B79" s="2" t="s">
        <v>97</v>
      </c>
    </row>
    <row r="80" spans="1:2" ht="25.5">
      <c r="A80" s="3" t="s">
        <v>92</v>
      </c>
      <c r="B80" s="2" t="s">
        <v>98</v>
      </c>
    </row>
    <row r="81" spans="1:2" ht="25.5">
      <c r="A81" s="3" t="s">
        <v>92</v>
      </c>
      <c r="B81" s="2" t="s">
        <v>99</v>
      </c>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showGridLines="0" topLeftCell="A2" workbookViewId="0">
      <selection sqref="A1:F1"/>
    </sheetView>
  </sheetViews>
  <sheetFormatPr defaultRowHeight="13.5"/>
  <cols>
    <col min="1" max="1" width="9" customWidth="1"/>
    <col min="2" max="2" width="19" customWidth="1"/>
    <col min="3" max="3" width="16" customWidth="1"/>
    <col min="4" max="4" width="22" customWidth="1"/>
    <col min="5" max="5" width="52" customWidth="1"/>
    <col min="6" max="6" width="58" customWidth="1"/>
  </cols>
  <sheetData>
    <row r="1" spans="1:6" ht="34.049999999999997" customHeight="1">
      <c r="A1" s="7" t="s">
        <v>100</v>
      </c>
      <c r="B1" s="7" t="s">
        <v>100</v>
      </c>
      <c r="C1" s="7" t="s">
        <v>100</v>
      </c>
      <c r="D1" s="7" t="s">
        <v>100</v>
      </c>
      <c r="E1" s="7" t="s">
        <v>100</v>
      </c>
      <c r="F1" s="7" t="s">
        <v>100</v>
      </c>
    </row>
    <row r="2" spans="1:6" ht="34.049999999999997" customHeight="1">
      <c r="A2" s="8" t="s">
        <v>101</v>
      </c>
      <c r="B2" s="9" t="s">
        <v>101</v>
      </c>
      <c r="C2" s="9" t="s">
        <v>101</v>
      </c>
      <c r="D2" s="9" t="s">
        <v>101</v>
      </c>
      <c r="E2" s="9" t="s">
        <v>101</v>
      </c>
      <c r="F2" s="10" t="s">
        <v>101</v>
      </c>
    </row>
    <row r="4" spans="1:6" ht="32" customHeight="1">
      <c r="A4" s="1" t="s">
        <v>102</v>
      </c>
      <c r="B4" s="1" t="s">
        <v>103</v>
      </c>
      <c r="C4" s="1" t="s">
        <v>104</v>
      </c>
      <c r="D4" s="1" t="s">
        <v>105</v>
      </c>
      <c r="E4" s="1" t="s">
        <v>106</v>
      </c>
      <c r="F4" s="1" t="s">
        <v>107</v>
      </c>
    </row>
    <row r="5" spans="1:6" ht="46.05" customHeight="1">
      <c r="A5" s="3">
        <v>1</v>
      </c>
      <c r="B5" s="3" t="s">
        <v>108</v>
      </c>
      <c r="C5" s="3" t="s">
        <v>109</v>
      </c>
      <c r="D5" s="3" t="s">
        <v>110</v>
      </c>
      <c r="E5" s="2" t="s">
        <v>111</v>
      </c>
      <c r="F5" s="2" t="s">
        <v>112</v>
      </c>
    </row>
    <row r="6" spans="1:6" ht="38" customHeight="1">
      <c r="A6" s="3">
        <v>2</v>
      </c>
      <c r="B6" s="3" t="s">
        <v>113</v>
      </c>
      <c r="C6" s="3" t="s">
        <v>109</v>
      </c>
      <c r="D6" s="3" t="s">
        <v>114</v>
      </c>
      <c r="E6" s="2" t="s">
        <v>115</v>
      </c>
      <c r="F6" s="2" t="s">
        <v>116</v>
      </c>
    </row>
    <row r="7" spans="1:6" ht="46.05" customHeight="1">
      <c r="A7" s="3">
        <v>3</v>
      </c>
      <c r="B7" s="3" t="s">
        <v>117</v>
      </c>
      <c r="C7" s="3" t="s">
        <v>118</v>
      </c>
      <c r="D7" s="3" t="s">
        <v>119</v>
      </c>
      <c r="E7" s="2" t="s">
        <v>120</v>
      </c>
      <c r="F7" s="2" t="s">
        <v>121</v>
      </c>
    </row>
    <row r="8" spans="1:6" ht="46.05" customHeight="1">
      <c r="A8" s="3">
        <v>4</v>
      </c>
      <c r="B8" s="3" t="s">
        <v>122</v>
      </c>
      <c r="C8" s="3" t="s">
        <v>109</v>
      </c>
      <c r="D8" s="3" t="s">
        <v>123</v>
      </c>
      <c r="E8" s="2" t="s">
        <v>124</v>
      </c>
      <c r="F8" s="2" t="s">
        <v>125</v>
      </c>
    </row>
    <row r="9" spans="1:6" ht="38" customHeight="1">
      <c r="A9" s="3">
        <v>5</v>
      </c>
      <c r="B9" s="3" t="s">
        <v>126</v>
      </c>
      <c r="C9" s="3" t="s">
        <v>127</v>
      </c>
      <c r="D9" s="3" t="s">
        <v>114</v>
      </c>
      <c r="E9" s="2" t="s">
        <v>128</v>
      </c>
      <c r="F9" s="2" t="s">
        <v>129</v>
      </c>
    </row>
    <row r="10" spans="1:6" ht="38" customHeight="1">
      <c r="A10" s="3">
        <v>6</v>
      </c>
      <c r="B10" s="3" t="s">
        <v>130</v>
      </c>
      <c r="C10" s="3" t="s">
        <v>131</v>
      </c>
      <c r="D10" s="3" t="s">
        <v>114</v>
      </c>
      <c r="E10" s="2" t="s">
        <v>132</v>
      </c>
      <c r="F10" s="2" t="s">
        <v>133</v>
      </c>
    </row>
  </sheetData>
  <mergeCells count="2">
    <mergeCell ref="A1:F1"/>
    <mergeCell ref="A2:F2"/>
  </mergeCells>
  <phoneticPr fontId="7"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showGridLines="0" topLeftCell="A2" workbookViewId="0">
      <selection sqref="A1:E1"/>
    </sheetView>
  </sheetViews>
  <sheetFormatPr defaultRowHeight="13.5"/>
  <cols>
    <col min="1" max="1" width="11" customWidth="1"/>
    <col min="2" max="2" width="22" customWidth="1"/>
    <col min="3" max="3" width="68" customWidth="1"/>
    <col min="4" max="4" width="34" customWidth="1"/>
    <col min="5" max="5" width="30" customWidth="1"/>
  </cols>
  <sheetData>
    <row r="1" spans="1:5" ht="34.049999999999997" customHeight="1">
      <c r="A1" s="7" t="s">
        <v>134</v>
      </c>
      <c r="B1" s="7" t="s">
        <v>134</v>
      </c>
      <c r="C1" s="7" t="s">
        <v>134</v>
      </c>
      <c r="D1" s="7" t="s">
        <v>134</v>
      </c>
      <c r="E1" s="7" t="s">
        <v>134</v>
      </c>
    </row>
    <row r="2" spans="1:5" ht="34.049999999999997" customHeight="1">
      <c r="A2" s="8" t="s">
        <v>135</v>
      </c>
      <c r="B2" s="9" t="s">
        <v>135</v>
      </c>
      <c r="C2" s="9" t="s">
        <v>135</v>
      </c>
      <c r="D2" s="9" t="s">
        <v>135</v>
      </c>
      <c r="E2" s="10" t="s">
        <v>135</v>
      </c>
    </row>
    <row r="4" spans="1:5" ht="32" customHeight="1">
      <c r="A4" s="1" t="s">
        <v>136</v>
      </c>
      <c r="B4" s="1" t="s">
        <v>137</v>
      </c>
      <c r="C4" s="1" t="s">
        <v>138</v>
      </c>
      <c r="D4" s="1" t="s">
        <v>139</v>
      </c>
      <c r="E4" s="1" t="s">
        <v>140</v>
      </c>
    </row>
    <row r="5" spans="1:5" ht="36" customHeight="1">
      <c r="A5" s="3" t="s">
        <v>10</v>
      </c>
      <c r="B5" s="3" t="s">
        <v>141</v>
      </c>
      <c r="C5" s="2" t="s">
        <v>142</v>
      </c>
      <c r="D5" s="4"/>
      <c r="E5" s="4"/>
    </row>
    <row r="6" spans="1:5" ht="36" customHeight="1">
      <c r="A6" s="3" t="s">
        <v>13</v>
      </c>
      <c r="B6" s="3" t="s">
        <v>143</v>
      </c>
      <c r="C6" s="2" t="s">
        <v>144</v>
      </c>
      <c r="D6" s="4"/>
      <c r="E6" s="4"/>
    </row>
    <row r="7" spans="1:5" ht="36" customHeight="1">
      <c r="A7" s="3" t="s">
        <v>15</v>
      </c>
      <c r="B7" s="3" t="s">
        <v>145</v>
      </c>
      <c r="C7" s="2" t="s">
        <v>146</v>
      </c>
      <c r="D7" s="4"/>
      <c r="E7" s="4"/>
    </row>
    <row r="8" spans="1:5" ht="36" customHeight="1">
      <c r="A8" s="3" t="s">
        <v>17</v>
      </c>
      <c r="B8" s="3" t="s">
        <v>147</v>
      </c>
      <c r="C8" s="2" t="s">
        <v>148</v>
      </c>
      <c r="D8" s="4"/>
      <c r="E8" s="4"/>
    </row>
    <row r="9" spans="1:5" ht="36" customHeight="1">
      <c r="A9" s="3" t="s">
        <v>19</v>
      </c>
      <c r="B9" s="3" t="s">
        <v>149</v>
      </c>
      <c r="C9" s="2" t="s">
        <v>150</v>
      </c>
      <c r="D9" s="4"/>
      <c r="E9" s="4"/>
    </row>
    <row r="10" spans="1:5" ht="36" customHeight="1">
      <c r="A10" s="3" t="s">
        <v>21</v>
      </c>
      <c r="B10" s="3" t="s">
        <v>151</v>
      </c>
      <c r="C10" s="2" t="s">
        <v>152</v>
      </c>
      <c r="D10" s="4"/>
      <c r="E10" s="4"/>
    </row>
    <row r="11" spans="1:5" ht="36" customHeight="1">
      <c r="A11" s="3" t="s">
        <v>23</v>
      </c>
      <c r="B11" s="3" t="s">
        <v>153</v>
      </c>
      <c r="C11" s="2" t="s">
        <v>154</v>
      </c>
      <c r="D11" s="4"/>
      <c r="E11" s="4"/>
    </row>
    <row r="12" spans="1:5" ht="46.05" customHeight="1">
      <c r="A12" s="3" t="s">
        <v>155</v>
      </c>
      <c r="B12" s="3" t="s">
        <v>156</v>
      </c>
      <c r="C12" s="2" t="s">
        <v>157</v>
      </c>
      <c r="D12" s="4"/>
      <c r="E12" s="4"/>
    </row>
    <row r="13" spans="1:5" ht="36" customHeight="1">
      <c r="A13" s="3" t="s">
        <v>158</v>
      </c>
      <c r="B13" s="3" t="s">
        <v>159</v>
      </c>
      <c r="C13" s="2" t="s">
        <v>160</v>
      </c>
      <c r="D13" s="4"/>
      <c r="E13" s="4"/>
    </row>
    <row r="14" spans="1:5" ht="36" customHeight="1">
      <c r="A14" s="3" t="s">
        <v>161</v>
      </c>
      <c r="B14" s="3" t="s">
        <v>162</v>
      </c>
      <c r="C14" s="2" t="s">
        <v>163</v>
      </c>
      <c r="D14" s="4"/>
      <c r="E14" s="4"/>
    </row>
  </sheetData>
  <mergeCells count="2">
    <mergeCell ref="A1:E1"/>
    <mergeCell ref="A2:E2"/>
  </mergeCells>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showGridLines="0" workbookViewId="0"/>
  </sheetViews>
  <sheetFormatPr defaultRowHeight="13.5"/>
  <cols>
    <col min="1" max="1" width="28" customWidth="1"/>
    <col min="2" max="2" width="15" customWidth="1"/>
    <col min="3" max="3" width="8" customWidth="1"/>
    <col min="4" max="4" width="20" customWidth="1"/>
    <col min="5" max="5" width="50" customWidth="1"/>
  </cols>
  <sheetData>
    <row r="1" spans="1:5" ht="34.049999999999997" customHeight="1">
      <c r="A1" s="7" t="s">
        <v>164</v>
      </c>
      <c r="B1" s="7" t="s">
        <v>164</v>
      </c>
      <c r="C1" s="7" t="s">
        <v>164</v>
      </c>
      <c r="D1" s="7" t="s">
        <v>164</v>
      </c>
      <c r="E1" s="7" t="s">
        <v>164</v>
      </c>
    </row>
    <row r="2" spans="1:5" ht="34.049999999999997" customHeight="1">
      <c r="A2" s="8" t="s">
        <v>165</v>
      </c>
      <c r="B2" s="9" t="s">
        <v>165</v>
      </c>
      <c r="C2" s="9" t="s">
        <v>165</v>
      </c>
      <c r="D2" s="9" t="s">
        <v>165</v>
      </c>
      <c r="E2" s="10" t="s">
        <v>165</v>
      </c>
    </row>
    <row r="4" spans="1:5" ht="32" customHeight="1">
      <c r="A4" s="1" t="s">
        <v>166</v>
      </c>
      <c r="B4" s="1" t="s">
        <v>167</v>
      </c>
      <c r="D4" s="1" t="s">
        <v>2</v>
      </c>
      <c r="E4" s="1" t="s">
        <v>168</v>
      </c>
    </row>
    <row r="5" spans="1:5" ht="15">
      <c r="A5" s="5" t="s">
        <v>169</v>
      </c>
      <c r="B5" s="6">
        <f>COUNTA(招标技术参数!A82:A197)</f>
        <v>0</v>
      </c>
      <c r="D5" s="3" t="s">
        <v>5</v>
      </c>
      <c r="E5" s="2" t="s">
        <v>170</v>
      </c>
    </row>
    <row r="6" spans="1:5" ht="15">
      <c r="A6" s="5" t="s">
        <v>171</v>
      </c>
      <c r="B6" s="6" t="e">
        <f>COUNTIF(招标技术参数!#REF!,"★")</f>
        <v>#REF!</v>
      </c>
      <c r="D6" s="3" t="s">
        <v>172</v>
      </c>
      <c r="E6" s="2" t="s">
        <v>173</v>
      </c>
    </row>
    <row r="7" spans="1:5" ht="15">
      <c r="A7" s="5" t="s">
        <v>174</v>
      </c>
      <c r="B7" s="6" t="e">
        <f>COUNTIF(招标技术参数!#REF!,"▲")</f>
        <v>#REF!</v>
      </c>
      <c r="D7" s="3" t="s">
        <v>175</v>
      </c>
      <c r="E7" s="2" t="s">
        <v>176</v>
      </c>
    </row>
    <row r="8" spans="1:5" ht="15">
      <c r="A8" s="5" t="s">
        <v>177</v>
      </c>
      <c r="B8" s="6" t="e">
        <f>COUNTIF(招标技术参数!#REF!,"一般")</f>
        <v>#REF!</v>
      </c>
      <c r="D8" s="3" t="s">
        <v>178</v>
      </c>
      <c r="E8" s="2" t="s">
        <v>179</v>
      </c>
    </row>
    <row r="9" spans="1:5" ht="15">
      <c r="A9" s="5" t="s">
        <v>180</v>
      </c>
      <c r="B9" s="6" t="e">
        <f>COUNTIFS(招标技术参数!#REF!,"&lt;&gt;未填写",招标技术参数!#REF!,"&lt;&gt;")</f>
        <v>#REF!</v>
      </c>
      <c r="D9" s="3" t="s">
        <v>181</v>
      </c>
      <c r="E9" s="2" t="s">
        <v>182</v>
      </c>
    </row>
    <row r="10" spans="1:5" ht="15">
      <c r="A10" s="5" t="s">
        <v>178</v>
      </c>
      <c r="B10" s="6" t="e">
        <f>COUNTIF(招标技术参数!#REF!,"负偏离")</f>
        <v>#REF!</v>
      </c>
    </row>
    <row r="13" spans="1:5" ht="32" customHeight="1">
      <c r="A13" s="11" t="s">
        <v>183</v>
      </c>
      <c r="B13" s="11" t="s">
        <v>183</v>
      </c>
      <c r="C13" s="11" t="s">
        <v>183</v>
      </c>
      <c r="D13" s="11" t="s">
        <v>183</v>
      </c>
      <c r="E13" s="11" t="s">
        <v>183</v>
      </c>
    </row>
    <row r="14" spans="1:5" ht="30" customHeight="1">
      <c r="A14" s="12" t="s">
        <v>184</v>
      </c>
      <c r="B14" s="13"/>
      <c r="C14" s="13"/>
      <c r="D14" s="13"/>
      <c r="E14" s="14"/>
    </row>
    <row r="15" spans="1:5" ht="30" customHeight="1">
      <c r="A15" s="15" t="s">
        <v>185</v>
      </c>
      <c r="B15" s="16"/>
      <c r="C15" s="16"/>
      <c r="D15" s="16"/>
      <c r="E15" s="17"/>
    </row>
    <row r="16" spans="1:5" ht="30" customHeight="1">
      <c r="A16" s="12" t="s">
        <v>186</v>
      </c>
      <c r="B16" s="13"/>
      <c r="C16" s="13"/>
      <c r="D16" s="13"/>
      <c r="E16" s="14"/>
    </row>
    <row r="17" spans="1:5" ht="30" customHeight="1">
      <c r="A17" s="15" t="s">
        <v>187</v>
      </c>
      <c r="B17" s="16"/>
      <c r="C17" s="16"/>
      <c r="D17" s="16"/>
      <c r="E17" s="17"/>
    </row>
    <row r="18" spans="1:5" ht="42" customHeight="1">
      <c r="A18" s="12" t="s">
        <v>188</v>
      </c>
      <c r="B18" s="13"/>
      <c r="C18" s="13"/>
      <c r="D18" s="13"/>
      <c r="E18" s="14"/>
    </row>
    <row r="19" spans="1:5" ht="42" customHeight="1">
      <c r="A19" s="15" t="s">
        <v>189</v>
      </c>
      <c r="B19" s="16"/>
      <c r="C19" s="16"/>
      <c r="D19" s="16"/>
      <c r="E19" s="17"/>
    </row>
  </sheetData>
  <mergeCells count="9">
    <mergeCell ref="A16:E16"/>
    <mergeCell ref="A17:E17"/>
    <mergeCell ref="A18:E18"/>
    <mergeCell ref="A19:E19"/>
    <mergeCell ref="A1:E1"/>
    <mergeCell ref="A2:E2"/>
    <mergeCell ref="A13:E13"/>
    <mergeCell ref="A14:E14"/>
    <mergeCell ref="A15:E15"/>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招标技术参数</vt:lpstr>
      <vt:lpstr>模型接入基线</vt:lpstr>
      <vt:lpstr>待确认参数</vt:lpstr>
      <vt:lpstr>填写说明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zhengchao</cp:lastModifiedBy>
  <dcterms:modified xsi:type="dcterms:W3CDTF">2026-08-28T02:05:48Z</dcterms:modified>
</cp:coreProperties>
</file>