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360" windowHeight="12960"/>
  </bookViews>
  <sheets>
    <sheet name="招标技术参数表" sheetId="1" r:id="rId1"/>
    <sheet name="投标响应表" sheetId="2" r:id="rId2"/>
    <sheet name="填写说明" sheetId="3" r:id="rId3"/>
    <sheet name="模型接入基线" sheetId="4" r:id="rId4"/>
    <sheet name="待确认参数"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<sst xmlns="http://schemas.openxmlformats.org/spreadsheetml/2006/main" count="1260" uniqueCount="466">
  <si>
    <t>航空发动机智能质检系统 · 招标技术参数表（最终版）</t>
  </si>
  <si>
    <t>属性说明：★=实质性要求（不可负偏离）；▲=重要要求（评分重点）；一般=基础要求。共 84 条，其中 ★ 14 条、▲ 25 条。</t>
  </si>
  <si>
    <t>序号</t>
  </si>
  <si>
    <t>参数项（二级模块）</t>
  </si>
  <si>
    <t>技术要求</t>
  </si>
  <si>
    <t>属性</t>
  </si>
  <si>
    <t>验收标准 / 证明要求</t>
  </si>
  <si>
    <t>第一章 项目范围与总体原则（7 条）</t>
  </si>
  <si>
    <t>1</t>
  </si>
  <si>
    <t>总体要求 / 建设目标</t>
  </si>
  <si>
    <t>建设一套面向航空发动机检测场景的智能质检系统，实现检测任务理解、模型选择与调度、异构结果归一、综合判级、知识增强、人工复核、报告生成和全链路追溯。</t>
  </si>
  <si>
    <t>一般</t>
  </si>
  <si>
    <t>评审总体方案；演示覆盖任务提交至报告归档的端到端闭环。</t>
  </si>
  <si>
    <t>1-1</t>
  </si>
  <si>
    <t>界面与文档 / 中文要求</t>
  </si>
  <si>
    <t>系统界面、报告和运维文档应采用中文，专业英文缩写首次出现时给出中文解释。</t>
  </si>
  <si>
    <t>抽查界面、报告模板与运维文档语言规范。</t>
  </si>
  <si>
    <t>3</t>
  </si>
  <si>
    <t>接入范围 / 模型数量</t>
  </si>
  <si>
    <t>应完成现有不少于6个检测模型或检测能力的统一接入，覆盖孔探、红外成像、X射线（DR）、荧光渗透、断口金相等不少于5类检测场景。</t>
  </si>
  <si>
    <t>★</t>
  </si>
  <si>
    <t>对照《模型接入基线》逐一联调验证；接入清单与验收记录一一对应。</t>
  </si>
  <si>
    <t>5</t>
  </si>
  <si>
    <t>扩展能力 / 配置化</t>
  </si>
  <si>
    <t>新增、下线或变更检测模型时，应主要通过适配器、能力描述和配置完成，不应要求修改质检主流程核心代码。</t>
  </si>
  <si>
    <t>▲</t>
  </si>
  <si>
    <t>演示新增一个模拟能力的配置化接入过程；提供适配器开发指南。</t>
  </si>
  <si>
    <t>6</t>
  </si>
  <si>
    <t>技术中立 / 无锁定</t>
  </si>
  <si>
    <t>不得将特定云厂商、知识平台、智能体框架、网关产品、模型厂商或科研单位作为唯一实现条件；满足接口、安全、部署和验收要求的等效方案均可。</t>
  </si>
  <si>
    <t>审查投标方案与架构说明，核查无唯一厂商/产品指向条款。</t>
  </si>
  <si>
    <t>59</t>
  </si>
  <si>
    <t>数据安全 / 不出域</t>
  </si>
  <si>
    <t>正式运行环境应私有化部署，检测图像、模型结果、知识资料、索引、报告和日志不得未经授权传出采购人指定网络边界。</t>
  </si>
  <si>
    <t>内网环境实测数据流向审计；提供安全域划分与出域管控说明。</t>
  </si>
  <si>
    <t>60</t>
  </si>
  <si>
    <t>离线能力 / 核心业务</t>
  </si>
  <si>
    <t>系统核心质检、知识检索、报告和审计能力应能在无互联网条件下运行；确需外部依赖的功能应明确列明并可禁用。</t>
  </si>
  <si>
    <t>断网演练：核心链路离线运行验证；外部依赖清单逐项核对。</t>
  </si>
  <si>
    <t>第二章 总体架构与部署（7 条）</t>
  </si>
  <si>
    <t>2</t>
  </si>
  <si>
    <t>总体架构 / 分层解耦</t>
  </si>
  <si>
    <t>系统应采用分层、模块化架构，至少包含交互、任务编排、知识增强、工具接入和资源能力等逻辑层；编排层不得与具体检测模型硬编码耦合。</t>
  </si>
  <si>
    <t>评审架构图与代码结构；抽查编排层与能力调用的解耦实现。</t>
  </si>
  <si>
    <t>64</t>
  </si>
  <si>
    <t>部署 / 私有化与容器化</t>
  </si>
  <si>
    <t>支持在采购人指定服务器或虚拟化环境私有化部署；核心服务宜采用容器镜像或等效可移植交付方式，并支持受控编排。</t>
  </si>
  <si>
    <t>验收环境实际部署验证；提供部署包与编排配置。</t>
  </si>
  <si>
    <t>64-1</t>
  </si>
  <si>
    <t>部署 / 离线安装与升级</t>
  </si>
  <si>
    <t>系统应支持离线安装与离线升级，核心功能不得依赖公网在线服务；确需联网的组件须在投标文件中单独说明。</t>
  </si>
  <si>
    <t>离线环境完成一次完整安装与升级演练。</t>
  </si>
  <si>
    <t>65</t>
  </si>
  <si>
    <t>部署 / 资源适配</t>
  </si>
  <si>
    <t>应提供CPU、GPU、内存、存储和网络资源建议，支持按不同检测能力分别配置资源；不得将未确认的模型硬件条件写死为系统唯一条件。</t>
  </si>
  <si>
    <t>核对资源建议清单与B-01确认结果一致。</t>
  </si>
  <si>
    <t>65-1</t>
  </si>
  <si>
    <t>部署 / 资源弹性</t>
  </si>
  <si>
    <t>应用、模型服务、知识检索、数据库、对象存储和日志等核心组件应支持独立部署与水平扩缩容，扩缩容不影响在途任务；单组件故障不改变其他组件可用性。</t>
  </si>
  <si>
    <t>演示单组件扩缩容与故障隔离；提供部署拓扑说明。</t>
  </si>
  <si>
    <t>66</t>
  </si>
  <si>
    <t>迁移 / 联调到内网</t>
  </si>
  <si>
    <t>如使用临时联调环境，应支持将镜像、配置、能力描述、知识数据和必要依赖迁移至内网；不得绑定特定公有云。</t>
  </si>
  <si>
    <t>迁移方案评审 + 迁移演练记录。</t>
  </si>
  <si>
    <t>67</t>
  </si>
  <si>
    <t>集成 / 外部系统</t>
  </si>
  <si>
    <t>提供开放接口与现有检测管理、MES或其他业务系统集成，支持任务提交、状态查询、结果获取、报告归档和必要的回调通知。</t>
  </si>
  <si>
    <t>接口文档评审；按B-07确认范围抽测联调。</t>
  </si>
  <si>
    <t>第三章 多智能体编排与任务流程（8 条）</t>
  </si>
  <si>
    <t>4</t>
  </si>
  <si>
    <t>业务流程 / 单场景与多场景</t>
  </si>
  <si>
    <t>既支持单一检测场景独立执行，也支持同一部件按业务规则串联多场景检测并形成部件级综合结论。</t>
  </si>
  <si>
    <t>演示单场景任务与多场景串联任务各一例。</t>
  </si>
  <si>
    <t>4-1</t>
  </si>
  <si>
    <t>业务流程 / 逐级下钻</t>
  </si>
  <si>
    <t>支持按目视/非破坏、内部检测、破坏性分析等条件逐级下钻组织检测任务，形成部件级检测路径。</t>
  </si>
  <si>
    <t>演示下钻配置与任务组织路径。</t>
  </si>
  <si>
    <t>43</t>
  </si>
  <si>
    <t>任务管理 / 任务提交</t>
  </si>
  <si>
    <t>支持上传检测图像及关联文件、填写检测方法和元数据、通过表单或自然语言提交任务，并生成唯一任务编号。</t>
  </si>
  <si>
    <t>演示表单提交与自然语言提交两种方式，核对任务编号唯一性。</t>
  </si>
  <si>
    <t>44</t>
  </si>
  <si>
    <t>任务管理 / 质量检查</t>
  </si>
  <si>
    <t>任务进入模型调度前应完成格式识别、预处理、元数据提取和输入质量检查；不合格数据应明确提示并可重新提交。</t>
  </si>
  <si>
    <t>构造不合格样本验证拦截与补正提示。</t>
  </si>
  <si>
    <t>44-1</t>
  </si>
  <si>
    <t>任务管理 / 状态集合</t>
  </si>
  <si>
    <t>任务状态至少应覆盖待执行、执行中、待复核、已完成、失败、已取消等，并保留状态变化时间和操作者。</t>
  </si>
  <si>
    <t>核对状态机定义与状态流转审计记录。</t>
  </si>
  <si>
    <t>45</t>
  </si>
  <si>
    <t>智能编排 / 流程职责</t>
  </si>
  <si>
    <t>编排能力至少覆盖任务理解与步骤规划、能力路由与执行、结果汇总与报告、综合判级与复核四类职责；具体框架和实现方式不限。</t>
  </si>
  <si>
    <t>评审编排设计；演示四类职责的独立配置与监控。</t>
  </si>
  <si>
    <t>46</t>
  </si>
  <si>
    <t>智能编排 / 硬路由</t>
  </si>
  <si>
    <t>对于检测场景、必备输入和安全规则等确定性条件，应优先使用可审计的规则或硬路由；模型辅助判断不得替代必要的输入校验。</t>
  </si>
  <si>
    <t>演示确定性路由命中与日志留痕；构造模型误判样本验证校验兜底。</t>
  </si>
  <si>
    <t>47</t>
  </si>
  <si>
    <t>任务调度 / 串并行</t>
  </si>
  <si>
    <t>支持按业务规则串行或并行执行检测能力，并显示各子任务状态、耗时、异常和重试情况。</t>
  </si>
  <si>
    <t>演示串并行调度界面与异常重试记录。</t>
  </si>
  <si>
    <t>第四章 模型接入、适配与能力注册（13 条）</t>
  </si>
  <si>
    <t>7</t>
  </si>
  <si>
    <t>模型接入 / 三类适配</t>
  </si>
  <si>
    <t>应支持HTTP API、模型文件/容器化推理服务、本地软件或文件交换桥接等不少于3类接入方式，并统一转换为上层可调用的标准能力。</t>
  </si>
  <si>
    <t>三类接入形态各演示一个真实联调样例。</t>
  </si>
  <si>
    <t>8</t>
  </si>
  <si>
    <t>模型接入 / HTTP API</t>
  </si>
  <si>
    <t>支持基于开放接口的请求、响应、鉴权和错误码适配；请求与响应结构应可配置并支持结构化数据格式。</t>
  </si>
  <si>
    <t>演示HTTP能力接入配置与错误码映射。</t>
  </si>
  <si>
    <t>9</t>
  </si>
  <si>
    <t>模型接入 / 模型文件封装</t>
  </si>
  <si>
    <t>对仅提供模型文件的能力，应支持封装为独立推理服务，具备镜像或等效可移植包、启动配置、健康检查和资源限制能力。</t>
  </si>
  <si>
    <t>演示模型文件封装为推理服务的全过程。</t>
  </si>
  <si>
    <t>10</t>
  </si>
  <si>
    <t>模型接入 / 本地软件桥接</t>
  </si>
  <si>
    <t>对无标准接口的本地软件，应支持通过文件投递、目录监听、命令行或等效机制提交任务、跟踪状态、回收结果并处理异常。</t>
  </si>
  <si>
    <t>以X射线（DR）本地软件为对象演示桥接全链路。</t>
  </si>
  <si>
    <t>10-1</t>
  </si>
  <si>
    <t>模型接入 / 桥接失败恢复</t>
  </si>
  <si>
    <t>对于本地软件型能力，须支持文件投放、任务状态轮询、结果自动回收及进程异常恢复；当软件崩溃或无响应时，系统应具备超时切断与人工重试机制，不得阻塞后续队列；重试须幂等，防止重复检测与重复归档，失败过程应留痕可审计。</t>
  </si>
  <si>
    <t>构造软件崩溃/无响应场景，验证超时切断、队列不阻塞与重试幂等。</t>
  </si>
  <si>
    <t>11</t>
  </si>
  <si>
    <t>工具协议 / 开放扩展</t>
  </si>
  <si>
    <t>支持开放、可扩展的工具调用或能力描述机制；采用何种协议由投标人说明，但不得影响第三方能力替换和二次集成。</t>
  </si>
  <si>
    <t>评审协议说明与替换第三方能力的演示。</t>
  </si>
  <si>
    <t>12</t>
  </si>
  <si>
    <t>能力注册 / 注册中心</t>
  </si>
  <si>
    <t>应建设能力注册中心，集中管理模型能力、服务形态、输入输出、版本、状态、资源占用、并发限制及路由策略。</t>
  </si>
  <si>
    <t>演示注册中心管理界面/接口与注册记录落库。</t>
  </si>
  <si>
    <t>13</t>
  </si>
  <si>
    <t>能力注册 / 元数据</t>
  </si>
  <si>
    <t>注册信息至少包含：能力ID、版本、检测场景、支持的缺陷或分析类型、提供方、输入格式、分辨率/颜色模式、必备元数据、输出类型、严重度映射、接口地址、鉴权方式、并发上限、GPU/CPU需求和可用状态。</t>
  </si>
  <si>
    <t>抽查注册记录字段完整性。</t>
  </si>
  <si>
    <t>14</t>
  </si>
  <si>
    <t>能力注册 / 描述文件</t>
  </si>
  <si>
    <t>支持通过机器可读的能力描述文件导入、导出模型信息，用作模型准入、调度、审计和环境迁移的统一依据。</t>
  </si>
  <si>
    <t>演示描述文件导入导出与环境迁移复用。</t>
  </si>
  <si>
    <t>15</t>
  </si>
  <si>
    <t>输入治理 / 前置校验</t>
  </si>
  <si>
    <t>调用模型前应校验格式、分辨率、颜色模式和场景必需元数据；缺失红外辐射值文件、X射线参考图或标定参数等必备输入时，应阻止错误调用并明确提示。</t>
  </si>
  <si>
    <t>构造缺失CSV/参考图/标定参数样本，验证阻断与提示。</t>
  </si>
  <si>
    <t>16</t>
  </si>
  <si>
    <t>调用治理 / 同步异步</t>
  </si>
  <si>
    <t>支持同步或异步调用方式，并可按能力配置超时、重试、并发上限、队列和备用能力策略。</t>
  </si>
  <si>
    <t>抽查调用治理配置项与生效记录。</t>
  </si>
  <si>
    <t>17</t>
  </si>
  <si>
    <t>调用治理 / 版本管理</t>
  </si>
  <si>
    <t>应支持检测能力版本标识、灰度切换或等效受控切换、回退和历史调用版本追溯。</t>
  </si>
  <si>
    <t>演示版本切换、回退与调用版本追溯。</t>
  </si>
  <si>
    <t>18</t>
  </si>
  <si>
    <t>运行状态 / 健康检查</t>
  </si>
  <si>
    <t>应持续或按周期采集能力可用状态、响应状态和资源占用，异常时可告警并避免继续路由到不可用能力。</t>
  </si>
  <si>
    <t>构造能力不可用场景，验证告警与路由绕行。</t>
  </si>
  <si>
    <t>第五章 结果归一、联合判级与报告（15 条）</t>
  </si>
  <si>
    <t>19</t>
  </si>
  <si>
    <t>结果归一 / 类型分流</t>
  </si>
  <si>
    <t>统一结果模型应至少区分缺陷检测、定量测量和分类结论三类输出，不得强行用单一结果结构覆盖全部检测能力。</t>
  </si>
  <si>
    <t>用三类真实结果验证归一结构不丢失原始信息。</t>
  </si>
  <si>
    <t>20</t>
  </si>
  <si>
    <t>结果归一 / 缺陷检测</t>
  </si>
  <si>
    <t>缺陷检测类结果应支持缺陷类型、位置框/分割区域、置信度、严重程度、面积、长度等可选字段，并保留原始模型结果。</t>
  </si>
  <si>
    <t>抽查缺陷检测结果字段与原始结果关联。</t>
  </si>
  <si>
    <t>21</t>
  </si>
  <si>
    <t>结果归一 / 定量测量</t>
  </si>
  <si>
    <t>定量测量类结果应支持二维偏移量、坐标、晶粒度、相占比等数值字段及单位，不得以缺陷严重度替代测量结果。</t>
  </si>
  <si>
    <t>抽查定量测量结果字段与单位标注。</t>
  </si>
  <si>
    <t>22</t>
  </si>
  <si>
    <t>结果归一 / 分类结果</t>
  </si>
  <si>
    <t>分类类结果应支持类别、置信度、分类说明及适用规则，可形成独立结论。</t>
  </si>
  <si>
    <t>抽查分类结果独立结论展示。</t>
  </si>
  <si>
    <t>23</t>
  </si>
  <si>
    <t>严重度 / 四级主标尺</t>
  </si>
  <si>
    <t>对适用缺陷判级的模型，应支持将不同模型的三级、四级或自定义等级映射到统一四级主标尺（轻微、中等、严重、危急）；映射规则应配置化、可审计。</t>
  </si>
  <si>
    <t>核对映射规则配置与映射审计记录。</t>
  </si>
  <si>
    <t>24</t>
  </si>
  <si>
    <t>严重度 / 例外通道</t>
  </si>
  <si>
    <t>对于金相组织定量分析（晶粒度、相占比）和断口模式分类等无严重度定义的检测项，系统必须走"定量分析通道"或"分类通道"独立展示，严禁强制映射或虚构"轻微/严重"等级；输出字段若为空须清晰标注原因。</t>
  </si>
  <si>
    <t>验证金相/断口任务输出无虚构严重度，空字段有原因标注。</t>
  </si>
  <si>
    <t>25</t>
  </si>
  <si>
    <t>坐标与单位 / 统一</t>
  </si>
  <si>
    <t>应统一记录坐标系、像素或物理单位、标定系数和单位换算信息，能够区分像素坐标与毫米等物理量。</t>
  </si>
  <si>
    <t>抽查结果记录中坐标系与单位换算信息。</t>
  </si>
  <si>
    <t>26</t>
  </si>
  <si>
    <t>置信度 / 阈值策略</t>
  </si>
  <si>
    <t>模型置信度阈值、人工复核阈值和高风险阈值应按场景或能力配置，并保留阈值版本。</t>
  </si>
  <si>
    <t>抽查阈值配置项与版本记录。</t>
  </si>
  <si>
    <t>27</t>
  </si>
  <si>
    <t>规则管理 / SOP</t>
  </si>
  <si>
    <t>应支持将质检SOP、判级规则、归一规则和联合判级规则配置化管理，具备版本、生效时间、审批或发布状态和历史追溯。</t>
  </si>
  <si>
    <t>演示规则配置、审批发布与版本回溯。</t>
  </si>
  <si>
    <t>28</t>
  </si>
  <si>
    <t>联合判级 / 部件级结论</t>
  </si>
  <si>
    <t>应能够汇总同一部件在不同检测场景下的结果，按可配置规则生成部件级综合结论，并显示各子结论及冲突说明。</t>
  </si>
  <si>
    <t>构造多场景冲突样本，验证联合判级与冲突提示。</t>
  </si>
  <si>
    <t>29</t>
  </si>
  <si>
    <t>人工复核 / 触发条件</t>
  </si>
  <si>
    <t>高严重度、低置信度、规则冲突、输入质量异常或用户指定任务应进入人工复核；复核人员可确认、修订、退回补检并填写意见。</t>
  </si>
  <si>
    <t>构造各类触发样本验证复核门；演示四种复核动作。</t>
  </si>
  <si>
    <t>30</t>
  </si>
  <si>
    <t>人工复核 / 反馈留痕</t>
  </si>
  <si>
    <t>人工复核前后结果、复核人、时间、意见和处置状态应完整保留，复核不通过可反馈至任务规划或补检环节。</t>
  </si>
  <si>
    <t>抽查复核留痕记录完整性。</t>
  </si>
  <si>
    <t>48</t>
  </si>
  <si>
    <t>报告 / 内容</t>
  </si>
  <si>
    <t>质检报告至少包含任务信息、原始输入索引、使用的能力及版本、缺陷或分析结果、定量测量、置信度、判级结论、知识解读、引用来源、人工复核和审计信息。</t>
  </si>
  <si>
    <t>抽查报告要素完整性，逐项对照要求。</t>
  </si>
  <si>
    <t>49</t>
  </si>
  <si>
    <t>报告 / 格式</t>
  </si>
  <si>
    <t>支持生成结构化报告并导出为可阅读文档格式，至少提供Word或PDF之一，同时提供结构化数据接口供其他系统归档。</t>
  </si>
  <si>
    <t>演示报告导出与结构化接口输出。</t>
  </si>
  <si>
    <t>50</t>
  </si>
  <si>
    <t>报告 / 归档查询</t>
  </si>
  <si>
    <t>支持按任务、部件、检测时间、场景、结论和复核状态查询历史报告，并可查看关联原始数据。</t>
  </si>
  <si>
    <t>演示多条件查询与原始数据回溯。</t>
  </si>
  <si>
    <t>第六章 本地知识库与知识增强（12 条）</t>
  </si>
  <si>
    <t>31</t>
  </si>
  <si>
    <t>知识库 / 私有化</t>
  </si>
  <si>
    <t>应建设可在采购人内网独立运行的本地知识库，知识数据、索引和检索服务不得依赖外部网络才能完成核心业务。</t>
  </si>
  <si>
    <t>内网环境验证知识库独立运行。</t>
  </si>
  <si>
    <t>32</t>
  </si>
  <si>
    <t>知识来源 / 多源接入</t>
  </si>
  <si>
    <t>应支持期刊文献、内部检测报告、维修手册、判级标准、历史案例等多类授权资料统一入库和管理。</t>
  </si>
  <si>
    <t>抽查多源资料入库记录。</t>
  </si>
  <si>
    <t>33</t>
  </si>
  <si>
    <t>文档处理 / 解析入库</t>
  </si>
  <si>
    <t>支持常见办公文档、PDF、网页和文本等资料的解析、清洗、切分、索引和增量更新；无法解析的内容应可识别并记录。</t>
  </si>
  <si>
    <t>抽样验证解析成功率与失败记录。</t>
  </si>
  <si>
    <t>34</t>
  </si>
  <si>
    <t>知识元数据 / 可追溯</t>
  </si>
  <si>
    <t>知识条目应保留来源名称、文档版本、作者或发布单位、发布时间、入库时间、来源链接或文件标识、授权范围等元数据。</t>
  </si>
  <si>
    <t>抽查知识条目元数据完整性。</t>
  </si>
  <si>
    <t>35</t>
  </si>
  <si>
    <t>知识检索 / 语义召回</t>
  </si>
  <si>
    <t>应支持基于检测结果参数、部位、缺陷或分析类型、检测方法和业务意图检索相关标准、文献及历史案例。</t>
  </si>
  <si>
    <t>用真实检测参数构造检索，验证召回相关性。</t>
  </si>
  <si>
    <t>36</t>
  </si>
  <si>
    <t>检索编排 / 条件生成</t>
  </si>
  <si>
    <t>能够将缺陷类型、测量值、严重度、检测方法等结构化参数转换为检索条件，并支持用户查看或修订检索条件。</t>
  </si>
  <si>
    <t>演示检索条件生成与人工修订。</t>
  </si>
  <si>
    <t>37</t>
  </si>
  <si>
    <t>知识增强 / 指标解读</t>
  </si>
  <si>
    <t>应基于召回知识生成指标解读、可能原因、适用判据和处置建议；生成内容应区分系统推断与引用事实。</t>
  </si>
  <si>
    <t>抽查解读输出的推断/事实分层标注。</t>
  </si>
  <si>
    <t>38</t>
  </si>
  <si>
    <t>引用管理 / 来源标注与幻觉红线</t>
  </si>
  <si>
    <t>知识增强输出必须标注引用来源，并可回溯到原始文档及具体位置；来源不可用或证据不足时应明确提示，不得虚构依据。当知识检索未找到可靠依据或置信度低于设定阈值时，系统必须明确提示"当前无可靠知识依据，建议人工核实"，严禁基于大模型生成看似合理但无来源的确定性维修处置建议。</t>
  </si>
  <si>
    <t>构造检索无命中场景，验证强制提示文案；抽查引用回溯到原文位置。</t>
  </si>
  <si>
    <t>39</t>
  </si>
  <si>
    <t>知识维护 / 增量与版本</t>
  </si>
  <si>
    <t>支持知识增量更新、失效标记、重建索引、版本回退或等效恢复，并记录操作人员与时间。</t>
  </si>
  <si>
    <t>演示增量更新与失效标记操作留痕。</t>
  </si>
  <si>
    <t>40</t>
  </si>
  <si>
    <t>网页采集 / 授权采集</t>
  </si>
  <si>
    <t>对采购人已授权且无开放数据接口的内网页面，支持按学科、期刊、关键词或页面范围进行受控采集；采集频率、并发、重试和停止条件可配置。</t>
  </si>
  <si>
    <t>核对采集授权清单与采集配置项。</t>
  </si>
  <si>
    <t>41</t>
  </si>
  <si>
    <t>网页采集 / 解析解耦</t>
  </si>
  <si>
    <t>网页访问、内容解析、清洗与入库应相互解耦；页面结构变化时可通过修改解析规则或适配配置恢复，不应改动知识库核心流程。</t>
  </si>
  <si>
    <t>模拟页面结构变化，验证仅改解析规则即可恢复。</t>
  </si>
  <si>
    <t>42</t>
  </si>
  <si>
    <t>知识合规 / 权限边界</t>
  </si>
  <si>
    <t>只允许采集和使用经采购人确认授权的内容，应支持访问权限、使用范围和版权标识管理，不得通过技术手段绕过访问控制。</t>
  </si>
  <si>
    <t>核对授权边界清单与访问审计日志。</t>
  </si>
  <si>
    <t>第七章 安全、权限、审计与运维（10 条）</t>
  </si>
  <si>
    <t>51</t>
  </si>
  <si>
    <t>追溯 / 全链路标识</t>
  </si>
  <si>
    <t>从任务接收、模型调用、知识检索、判级、复核到报告归档应使用关联标识贯通，避免不同子任务记录无法关联。</t>
  </si>
  <si>
    <t>抽取一条任务全链路记录验证标识贯通。</t>
  </si>
  <si>
    <t>52</t>
  </si>
  <si>
    <t>追溯 / 关键字段</t>
  </si>
  <si>
    <t>追溯记录至少包含任务ID、原始文件标识、能力ID及版本、输入摘要、输出摘要、置信度、阈值/规则版本、知识来源、调用时间、异常、复核和最终结论。</t>
  </si>
  <si>
    <t>抽查追溯记录字段完整性。</t>
  </si>
  <si>
    <t>53</t>
  </si>
  <si>
    <t>统一接入 / 网关能力</t>
  </si>
  <si>
    <t>应提供统一接入层，对检测能力、知识检索和本地工具执行统一鉴权、路由、限流、审计、异常隔离与观测。</t>
  </si>
  <si>
    <t>评审接入层设计；抽查统一审计日志。</t>
  </si>
  <si>
    <t>54</t>
  </si>
  <si>
    <t>访问控制 / 身份权限</t>
  </si>
  <si>
    <t>支持用户、角色和权限管理，至少区分系统管理员、质检人员、复核人员和审计/查看人员；关键操作应进行权限校验。</t>
  </si>
  <si>
    <t>演示角色权限矩阵与越权拦截。</t>
  </si>
  <si>
    <t>55</t>
  </si>
  <si>
    <t>安全审计 / 日志</t>
  </si>
  <si>
    <t>登录、配置变更、模型调用、知识操作、报告导出、复核和管理操作应留存审计日志；日志应防止普通用户篡改并支持检索导出。</t>
  </si>
  <si>
    <t>抽查审计日志覆盖范围与防篡改机制。</t>
  </si>
  <si>
    <t>58</t>
  </si>
  <si>
    <t>可观测 / 指标日志链路</t>
  </si>
  <si>
    <t>应采集系统、流程、模型、工具和知识检索的运行指标、日志和调用链信息，并支持按任务定位异常。具体观测组件不限。</t>
  </si>
  <si>
    <t>演示按任务ID定位一次异常的完整链路。</t>
  </si>
  <si>
    <t>61</t>
  </si>
  <si>
    <t>安全防护 / 传输存储</t>
  </si>
  <si>
    <t>应支持传输加密、敏感配置保护、上传文件校验、恶意内容防护和重要数据备份；具体算法与等级应符合采购人安全制度。</t>
  </si>
  <si>
    <t>安全方案评审；按采购人制度抽测。</t>
  </si>
  <si>
    <t>62</t>
  </si>
  <si>
    <t>依赖治理 / 第三方清单</t>
  </si>
  <si>
    <t>应提供操作系统、数据库、中间件、模型框架、开源组件及许可证清单，说明版本、用途、漏洞修复与升级策略。</t>
  </si>
  <si>
    <t>核对第三方组件与许可证清单。</t>
  </si>
  <si>
    <t>63</t>
  </si>
  <si>
    <t>备份恢复 / 可恢复</t>
  </si>
  <si>
    <t>应支持配置、注册信息、规则、知识索引、业务数据和审计数据的备份与恢复，并提供恢复步骤和验证记录。</t>
  </si>
  <si>
    <t>执行一次备份恢复演练并留存记录。</t>
  </si>
  <si>
    <t>68</t>
  </si>
  <si>
    <t>运维 / 安装升级回退</t>
  </si>
  <si>
    <t>提供自动化或标准化安装、配置检查、升级、回退、启停、巡检和故障排查工具或脚本。</t>
  </si>
  <si>
    <t>演示运维工具链；执行一次升级回退演练。</t>
  </si>
  <si>
    <t>第八章 性能、可靠性与兼容性（5 条）</t>
  </si>
  <si>
    <t>56</t>
  </si>
  <si>
    <t>流量治理 / 限流配额</t>
  </si>
  <si>
    <t>支持按用户、接口、能力或任务类型配置并发、频率和队列策略，防止单一能力超载。</t>
  </si>
  <si>
    <t>抽查限流配置与超载保护记录。</t>
  </si>
  <si>
    <t>56-1</t>
  </si>
  <si>
    <t>性能 / 基线约定</t>
  </si>
  <si>
    <t>任务并发数、单任务最大文件量/大小、各场景响应时间、批处理吞吐量及峰值负载等性能指标，以采购人确认的性能基线（见《待确认参数》B-02）为准，作为验收依据。</t>
  </si>
  <si>
    <t>按B-02确认基线执行性能测试并出具报告。</t>
  </si>
  <si>
    <t>57</t>
  </si>
  <si>
    <t>可靠性 / 容错</t>
  </si>
  <si>
    <t>支持超时、重试、熔断、降级和失败补偿；单个能力异常不应导致其他无依赖流程整体不可用。</t>
  </si>
  <si>
    <t>构造单能力故障，验证隔离与降级行为。</t>
  </si>
  <si>
    <t>57-1</t>
  </si>
  <si>
    <t>可靠性 / 幂等防重</t>
  </si>
  <si>
    <t>任务、接口和适配器应具备幂等或防重复机制，网络重试不得造成重复检测、重复归档或错误覆盖。</t>
  </si>
  <si>
    <t>构造网络重试场景验证幂等行为。</t>
  </si>
  <si>
    <t>66-1</t>
  </si>
  <si>
    <t>兼容性 / 浏览器与运行环境</t>
  </si>
  <si>
    <t>应支持主流浏览器访问；服务器端操作系统、数据库和中间件兼容范围应在投标文件中明确。</t>
  </si>
  <si>
    <t>主流浏览器抽测；核对兼容性声明。</t>
  </si>
  <si>
    <t>第九章 实施、交付与验收界定（7 条）</t>
  </si>
  <si>
    <t>75</t>
  </si>
  <si>
    <t>验收界定 / 总则（前置）</t>
  </si>
  <si>
    <t>原检测模型的算法准确率和原生推理时延应以采购人提供的基线或专项指标验收；本项目应重点验收集成完整性、流程正确性、附加开销、稳定性和可追溯性，避免将底层模型责任与平台责任混淆。</t>
  </si>
  <si>
    <t>验收方案中列明平台责任清单与模型责任清单，双方签认。</t>
  </si>
  <si>
    <t>69</t>
  </si>
  <si>
    <t>交付 / 文档材料</t>
  </si>
  <si>
    <t>至少交付总体设计、详细设计、接口文档、数据字典、能力描述模板、部署手册、运维手册、用户手册、测试报告、验收报告和第三方依赖清单。</t>
  </si>
  <si>
    <t>交付物清单逐项点验。</t>
  </si>
  <si>
    <t>70</t>
  </si>
  <si>
    <t>实施 / 周期与里程碑</t>
  </si>
  <si>
    <t>项目计划总周期原则上不超过4个月，宜按基础环境与首批接入、异构能力接入与知识增强、多场景联调、内网部署与验收四个阶段实施；具体起止日期以合同为准。</t>
  </si>
  <si>
    <t>评审实施计划与里程碑、关键路径、风险应对的匹配性。</t>
  </si>
  <si>
    <t>71</t>
  </si>
  <si>
    <t>实施 / 团队能力</t>
  </si>
  <si>
    <t>项目团队应覆盖总体架构、任务编排与后端、模型集成、知识工程、测试质量和部署运维等角色，并明确负责人和替补机制。</t>
  </si>
  <si>
    <t>核对团队配置与人员稳定性承诺。</t>
  </si>
  <si>
    <t>72</t>
  </si>
  <si>
    <t>服务 / 培训</t>
  </si>
  <si>
    <t>应提供管理员、质检人员、复核人员和运维人员培训，包含操作、规则配置、知识维护、故障处理及安全要求。</t>
  </si>
  <si>
    <t>培训计划与材料验收；培训签到与考核记录留存。</t>
  </si>
  <si>
    <t>73</t>
  </si>
  <si>
    <t>服务 / 质保支持</t>
  </si>
  <si>
    <t>投标人应说明质保期限、服务时段、故障分级、响应与恢复机制、升级支持和驻场/远程服务方式，最终指标由采购人在发标前确定。</t>
  </si>
  <si>
    <t>服务方案评审；最终指标以商务条款为准。</t>
  </si>
  <si>
    <t>74</t>
  </si>
  <si>
    <t>验收 / 端到端闭环</t>
  </si>
  <si>
    <t>最终验收应在采购人目标环境完成，至少覆盖任务提交、三类异构接入、结果归一、判级、知识检索与引用、人工复核、报告、审计和归档全流程。</t>
  </si>
  <si>
    <t>目标环境端到端验收演示，按验收清单逐项签认。</t>
  </si>
  <si>
    <t>投标响应表（投标人逐条填写，不得仅填写"详见方案"）</t>
  </si>
  <si>
    <t>参数项</t>
  </si>
  <si>
    <t>技术参数要求（原文）</t>
  </si>
  <si>
    <t>响应结论</t>
  </si>
  <si>
    <t>实现说明</t>
  </si>
  <si>
    <t>偏离说明</t>
  </si>
  <si>
    <t>证明材料 / 页码</t>
  </si>
  <si>
    <t/>
  </si>
  <si>
    <t>本次招标平台集成验收重点为：模型侧可用前提下的异构模型调用成功率、流程编排的正确性、数据链路的可追溯性及系统附加开销（同等输入下平台编排层引入的时延，P95；测量方法在验收方案中约定）。6个底层检测模型的原生性能指标（检出率、精确率/召回率、定量误差、分类准确率等）以采购人移交的模型基线为准，不作为平台集成验收否决项；硬件资源配置以采购人发标前在《待确认参数》B-01中确认的清单为准，投标人不得以GPU型号未定作为无限期延迟交付的理由。模型交付条件与项目边界须于发标前完成B-03、B-10确认并固化。</t>
  </si>
  <si>
    <t>招标参数表（最终版）填写说明</t>
  </si>
  <si>
    <t>本表由《航空发动机智能质检系统_招标技术参数表》与《航空发动机智能质检系统_招标技术参数响应表》整合优化而成；正式发布前应完成采购、法务、安全和技术审定。</t>
  </si>
  <si>
    <t>统计项</t>
  </si>
  <si>
    <t>数量</t>
  </si>
  <si>
    <t>含义</t>
  </si>
  <si>
    <t>参数总数</t>
  </si>
  <si>
    <t>未填写</t>
  </si>
  <si>
    <t>尚未完成响应</t>
  </si>
  <si>
    <t>★实质性要求</t>
  </si>
  <si>
    <t>满足</t>
  </si>
  <si>
    <t>完全满足参数要求</t>
  </si>
  <si>
    <t>▲重要要求</t>
  </si>
  <si>
    <t>优于</t>
  </si>
  <si>
    <t>满足且存在可核验的优于项</t>
  </si>
  <si>
    <t>一般要求</t>
  </si>
  <si>
    <t>负偏离</t>
  </si>
  <si>
    <t>不能完全满足，须说明影响与替代方案</t>
  </si>
  <si>
    <t>已响应</t>
  </si>
  <si>
    <t>不适用</t>
  </si>
  <si>
    <t>经采购人确认该条款不适用于本项目</t>
  </si>
  <si>
    <t>填写要求</t>
  </si>
  <si>
    <t>1. 投标人应逐条选择响应结论，不得仅填写"详见方案"。</t>
  </si>
  <si>
    <t>2. "实现说明"应说明实现方式、主要组件、配置位置及可演示内容。</t>
  </si>
  <si>
    <t>3. 存在任何不完全满足的情况，应在"偏离说明"中明确影响、替代方案和风险。</t>
  </si>
  <si>
    <t>4. "证明材料/页码"应填写投标文件中的材料名称、章节或页码，便于评审核查；★条款须提供系统截图、架构设计图或代码级设计文档等可核验证明。</t>
  </si>
  <si>
    <t>5. ★实质性要求负偏离的，按招标文件规定视为未实质性响应招标要求处理。</t>
  </si>
  <si>
    <t>6. 专业检测模型由采购人或承研单位按约定提供；投标人需明确模型文件、接口、样例数据、算力与授权等前置依赖（见《待确认参数》B-03）。</t>
  </si>
  <si>
    <t>7. 平台与模型责任分界以"第九章 75 验收界定总则"为准；硬件资源以发标前 B-01 确认清单为准。</t>
  </si>
  <si>
    <t>待集成检测能力基线</t>
  </si>
  <si>
    <t>用于界定平台集成范围；具体模型版本、接口、算力与可用时间以采购人最终移交清单为准。模型本体准确率与原生推理时延由模型提供方负责，平台验收口径见主表第75条。</t>
  </si>
  <si>
    <t>检测场景</t>
  </si>
  <si>
    <t>能力类型</t>
  </si>
  <si>
    <t>当前服务形态</t>
  </si>
  <si>
    <t>输入/输出基线</t>
  </si>
  <si>
    <t>集成边界与验收关注点</t>
  </si>
  <si>
    <t>孔探</t>
  </si>
  <si>
    <t>缺陷检测</t>
  </si>
  <si>
    <t>模型文件/容器</t>
  </si>
  <si>
    <t>图像输入；输出缺陷类别、bbox、置信度及原三级严重度</t>
  </si>
  <si>
    <t>投标人负责服务封装、统一接口与四级主标尺映射；模型本体及样例数据由采购人协调提供。</t>
  </si>
  <si>
    <t>红外成像</t>
  </si>
  <si>
    <t>HTTP API</t>
  </si>
  <si>
    <t>红外图像+辐射值CSV；输出类别、bbox、置信度及原四级严重度</t>
  </si>
  <si>
    <t>须在调用前校验CSV；GPU配置、模型可用时间和性能指标以最终接口资料为准。</t>
  </si>
  <si>
    <t>X射线（DR）</t>
  </si>
  <si>
    <t>定量测量</t>
  </si>
  <si>
    <t>本地软件</t>
  </si>
  <si>
    <t>待测图+参考图+标定信息；输出mask/关键点、二维坐标、dx/dy（mm）和趋势</t>
  </si>
  <si>
    <t>须提供文件/进程桥接与状态管理，支持超时切断与异常恢复（主表10-1）；不强制套用缺陷严重度，按定量分析结果输出。</t>
  </si>
  <si>
    <t>荧光渗透</t>
  </si>
  <si>
    <t>模型文件/规划API</t>
  </si>
  <si>
    <t>图像输入；输出bbox/mask、置信度、面积（mm²）、长度（mm）及原三级严重度</t>
  </si>
  <si>
    <t>投标人负责服务化和统一接口；接口以最终交付件为准。</t>
  </si>
  <si>
    <t>金相组织</t>
  </si>
  <si>
    <t>定量分析</t>
  </si>
  <si>
    <t>金相图像；输出相组织分割、定量统计、晶粒度级别和相占比</t>
  </si>
  <si>
    <t>按定量分析通道处理，输出专业指标与引用依据，不强制生成缺陷严重度（主表24）。</t>
  </si>
  <si>
    <t>断口识别</t>
  </si>
  <si>
    <t>模式分类</t>
  </si>
  <si>
    <t>断口图像；输出疲劳、沿晶、解理、韧窝等断裂模式</t>
  </si>
  <si>
    <t>按分类通道处理；无定位、测量及严重度时应保持字段为空并清晰说明（主表24）。</t>
  </si>
  <si>
    <t>招标前需由采购人确认的参数</t>
  </si>
  <si>
    <t>源方案未给出明确数值或边界的事项集中在本表确认，确认后再固化到正式招标文件。黄色列由采购人填写；B-01/B-03/B-10 须于发标前锁定（对应主表第75条验收界定总则）。</t>
  </si>
  <si>
    <t>编号</t>
  </si>
  <si>
    <t>确认主题</t>
  </si>
  <si>
    <t>需确认内容</t>
  </si>
  <si>
    <t>采购人填写值</t>
  </si>
  <si>
    <t>备注</t>
  </si>
  <si>
    <t>B-01</t>
  </si>
  <si>
    <t>部署资源</t>
  </si>
  <si>
    <t>内网服务器、CPU/GPU型号与数量、存储容量、操作系统、容器平台及网络分区。</t>
  </si>
  <si>
    <t>发标前锁定；中标后不得以GPU未定为由延迟交付</t>
  </si>
  <si>
    <t>B-02</t>
  </si>
  <si>
    <t>并发与性能</t>
  </si>
  <si>
    <t>任务并发数、单任务最大文件量/大小、各场景响应时间、批处理吞吐量及峰值负载。</t>
  </si>
  <si>
    <t>作为主表56-1性能验收基线</t>
  </si>
  <si>
    <t>B-03</t>
  </si>
  <si>
    <t>模型交付条件</t>
  </si>
  <si>
    <t>6个模型的最终版本、接口资料、容器/权重、样例数据、授权方式、GPU依赖及可用日期。</t>
  </si>
  <si>
    <t>发标前锁定；延期对象按模拟件/后补验收</t>
  </si>
  <si>
    <t>B-04</t>
  </si>
  <si>
    <t>质检判级规则</t>
  </si>
  <si>
    <t>四级主标尺定义、原模型到主标尺映射、联合判级SOP、置信度阈值及人工复核触发条件。</t>
  </si>
  <si>
    <t>B-05</t>
  </si>
  <si>
    <t>知识库规模</t>
  </si>
  <si>
    <t>期刊、内部报告、维修手册、标准和历史案例的初始数量、格式、增量频率及权限分级。</t>
  </si>
  <si>
    <t>B-06</t>
  </si>
  <si>
    <t>网页采集边界</t>
  </si>
  <si>
    <t>可采集站点/栏目、账号与访问条件、授权范围、抓取频率、保存字段、版权与使用边界。</t>
  </si>
  <si>
    <t>B-07</t>
  </si>
  <si>
    <t>接口范围</t>
  </si>
  <si>
    <t>需对接的MES、检测管理系统、统一身份认证、文件服务、消息服务及报告归档系统。</t>
  </si>
  <si>
    <t>B-08</t>
  </si>
  <si>
    <t>安全与审计</t>
  </si>
  <si>
    <t>账号体系、等保/密评要求、日志留存周期、数据分级、备份恢复目标RPO/RTO及密码算法要求。</t>
  </si>
  <si>
    <t>B-09</t>
  </si>
  <si>
    <t>验收样本</t>
  </si>
  <si>
    <t>各场景验收数据集、标注真值、抽样规则、准确率/召回率口径及可接受偏差。</t>
  </si>
  <si>
    <t>B-10</t>
  </si>
  <si>
    <t>项目边界</t>
  </si>
  <si>
    <t>是否包含模型再训练、标注服务、硬件采购、云资源费用、第三方软件许可及各承研单位配合成本。</t>
  </si>
  <si>
    <t>发标前锁定；模型再训练原则上不在本次范围</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</si>
</sst>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b/>
      <sz val="13"/>
      <name val="宋体"/>
      <charset val="134"/>
      <scheme val="minor"/>
    </font>
    <font>
      <sz val="10"/>
      <color rgb="FF808080"/>
      <name val="宋体"/>
      <charset val="134"/>
      <scheme val="minor"/>
    </font>
    <font>
      <b/>
      <sz val="11"/>
      <color rgb="FFFFFFFF"/>
      <name val="宋体"/>
      <charset val="134"/>
      <scheme val="minor"/>
    </font>
    <font>
      <b/>
      <sz val="12"/>
      <name val="宋体"/>
      <charset val="134"/>
      <scheme val="minor"/>
    </font>
    <font>
      <sz val="11"/>
      <name val="宋体"/>
      <charset val="134"/>
      <scheme val="minor"/>
    </font>
    <font>
      <b/>
      <sz val="11"/>
      <color rgb="FFC00000"/>
      <name val="宋体"/>
      <charset val="134"/>
      <scheme val="minor"/>
    </font>
    <font>
      <b/>
      <sz val="11"/>
      <color rgb="FFBF6900"/>
      <name val="宋体"/>
      <charset val="134"/>
      <scheme val="minor"/>
    </font>
    <font>
      <b/>
      <sz val="14"/>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1F4E79"/>
        <bgColor indexed="64"/>
      </patternFill>
    </fill>
    <fill>
      <patternFill patternType="solid">
        <fgColor rgb="FFFFF2CC"/>
        <bgColor indexed="64"/>
      </patternFill>
    </fill>
    <fill>
      <patternFill patternType="solid">
        <fgColor rgb="FFD9E2F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0B0B0"/>
      </left>
      <right style="thin">
        <color rgb="FFB0B0B0"/>
      </right>
      <top style="thin">
        <color rgb="FFB0B0B0"/>
      </top>
      <bottom style="thin">
        <color rgb="FFB0B0B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5" borderId="2"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3" applyNumberFormat="0" applyFill="0" applyAlignment="0" applyProtection="0">
      <alignment vertical="center"/>
    </xf>
    <xf numFmtId="0" fontId="17" fillId="0" borderId="3" applyNumberFormat="0" applyFill="0" applyAlignment="0" applyProtection="0">
      <alignment vertical="center"/>
    </xf>
    <xf numFmtId="0" fontId="18" fillId="0" borderId="4" applyNumberFormat="0" applyFill="0" applyAlignment="0" applyProtection="0">
      <alignment vertical="center"/>
    </xf>
    <xf numFmtId="0" fontId="18" fillId="0" borderId="0" applyNumberFormat="0" applyFill="0" applyBorder="0" applyAlignment="0" applyProtection="0">
      <alignment vertical="center"/>
    </xf>
    <xf numFmtId="0" fontId="19" fillId="6" borderId="5" applyNumberFormat="0" applyAlignment="0" applyProtection="0">
      <alignment vertical="center"/>
    </xf>
    <xf numFmtId="0" fontId="20" fillId="7" borderId="6" applyNumberFormat="0" applyAlignment="0" applyProtection="0">
      <alignment vertical="center"/>
    </xf>
    <xf numFmtId="0" fontId="21" fillId="7" borderId="5" applyNumberFormat="0" applyAlignment="0" applyProtection="0">
      <alignment vertical="center"/>
    </xf>
    <xf numFmtId="0" fontId="22" fillId="8" borderId="7" applyNumberFormat="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9" fillId="33" borderId="0" applyNumberFormat="0" applyBorder="0" applyAlignment="0" applyProtection="0">
      <alignment vertical="center"/>
    </xf>
    <xf numFmtId="0" fontId="29" fillId="34" borderId="0" applyNumberFormat="0" applyBorder="0" applyAlignment="0" applyProtection="0">
      <alignment vertical="center"/>
    </xf>
    <xf numFmtId="0" fontId="28" fillId="35" borderId="0" applyNumberFormat="0" applyBorder="0" applyAlignment="0" applyProtection="0">
      <alignment vertical="center"/>
    </xf>
  </cellStyleXfs>
  <cellXfs count="18">
    <xf numFmtId="0" fontId="0" fillId="0" borderId="0" xfId="0"/>
    <xf numFmtId="0" fontId="1" fillId="0" borderId="0" xfId="0" applyFont="1"/>
    <xf numFmtId="0" fontId="2" fillId="0" borderId="0" xfId="0" applyFont="1" applyAlignment="1">
      <alignment vertical="top" wrapText="1"/>
    </xf>
    <xf numFmtId="0" fontId="3" fillId="2" borderId="1" xfId="0" applyFont="1" applyFill="1" applyBorder="1" applyAlignment="1">
      <alignment horizontal="center" vertical="top" wrapText="1"/>
    </xf>
    <xf numFmtId="0" fontId="0" fillId="0" borderId="1" xfId="0" applyBorder="1" applyAlignment="1">
      <alignment vertical="top" wrapText="1"/>
    </xf>
    <xf numFmtId="0" fontId="0" fillId="3" borderId="1" xfId="0" applyFill="1" applyBorder="1" applyAlignment="1">
      <alignment vertical="top" wrapText="1"/>
    </xf>
    <xf numFmtId="0" fontId="4" fillId="0" borderId="0" xfId="0" applyFont="1"/>
    <xf numFmtId="0" fontId="0" fillId="0" borderId="0" xfId="0" applyAlignment="1">
      <alignment vertical="top" wrapText="1"/>
    </xf>
    <xf numFmtId="0" fontId="1" fillId="0" borderId="0" xfId="0" applyFont="1" applyAlignment="1">
      <alignment horizontal="center" vertical="center"/>
    </xf>
    <xf numFmtId="0" fontId="0" fillId="0" borderId="1" xfId="0" applyBorder="1" applyAlignment="1">
      <alignment horizontal="center" vertical="top" wrapText="1"/>
    </xf>
    <xf numFmtId="0" fontId="5" fillId="0" borderId="1" xfId="0" applyFont="1" applyBorder="1" applyAlignment="1">
      <alignment horizontal="center" vertical="top" wrapText="1"/>
    </xf>
    <xf numFmtId="0" fontId="0" fillId="3" borderId="1" xfId="0" applyFill="1" applyBorder="1" applyAlignment="1">
      <alignment horizontal="center" vertical="top" wrapText="1"/>
    </xf>
    <xf numFmtId="0" fontId="6" fillId="0" borderId="1" xfId="0" applyFont="1" applyBorder="1" applyAlignment="1">
      <alignment horizontal="center" vertical="top" wrapText="1"/>
    </xf>
    <xf numFmtId="0" fontId="7" fillId="0" borderId="1" xfId="0" applyFont="1" applyBorder="1" applyAlignment="1">
      <alignment horizontal="center" vertical="top" wrapText="1"/>
    </xf>
    <xf numFmtId="0" fontId="8" fillId="0" borderId="0" xfId="0" applyFont="1" applyAlignment="1">
      <alignment horizontal="center" vertical="center"/>
    </xf>
    <xf numFmtId="0" fontId="2" fillId="0" borderId="0" xfId="0" applyFont="1"/>
    <xf numFmtId="0" fontId="9" fillId="4" borderId="1" xfId="0" applyFont="1" applyFill="1" applyBorder="1" applyAlignment="1">
      <alignment vertical="center"/>
    </xf>
    <xf numFmtId="0" fontId="0" fillId="0" borderId="1" xfId="0"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7"/>
  <sheetViews>
    <sheetView tabSelected="1" workbookViewId="0">
      <pane ySplit="4" topLeftCell="A5" activePane="bottomLeft" state="frozen"/>
      <selection/>
      <selection pane="bottomLeft" activeCell="C11" sqref="C11"/>
    </sheetView>
  </sheetViews>
  <sheetFormatPr defaultColWidth="9" defaultRowHeight="16.8" outlineLevelCol="4"/>
  <cols>
    <col min="1" max="1" width="9" customWidth="1"/>
    <col min="2" max="2" width="24" customWidth="1"/>
    <col min="3" max="3" width="92" customWidth="1"/>
    <col min="4" max="4" width="7" customWidth="1"/>
    <col min="5" max="5" width="42" customWidth="1"/>
  </cols>
  <sheetData>
    <row r="1" ht="28" customHeight="1" spans="1:5">
      <c r="A1" s="14" t="s">
        <v>0</v>
      </c>
    </row>
    <row r="2" spans="1:5">
      <c r="A2" s="15" t="s">
        <v>1</v>
      </c>
    </row>
    <row r="4" ht="17" spans="1:5">
      <c r="A4" s="3" t="s">
        <v>2</v>
      </c>
      <c r="B4" s="3" t="s">
        <v>3</v>
      </c>
      <c r="C4" s="3" t="s">
        <v>4</v>
      </c>
      <c r="D4" s="3" t="s">
        <v>5</v>
      </c>
      <c r="E4" s="3" t="s">
        <v>6</v>
      </c>
    </row>
    <row r="5" spans="1:5">
      <c r="A5" s="16" t="s">
        <v>7</v>
      </c>
      <c r="B5" s="17"/>
      <c r="C5" s="17"/>
      <c r="D5" s="17"/>
      <c r="E5" s="17"/>
    </row>
    <row r="6" ht="34" spans="1:5">
      <c r="A6" s="9" t="s">
        <v>8</v>
      </c>
      <c r="B6" s="4" t="s">
        <v>9</v>
      </c>
      <c r="C6" s="4" t="s">
        <v>10</v>
      </c>
      <c r="D6" s="10" t="s">
        <v>11</v>
      </c>
      <c r="E6" s="4" t="s">
        <v>12</v>
      </c>
    </row>
    <row r="7" ht="17" spans="1:5">
      <c r="A7" s="9" t="s">
        <v>13</v>
      </c>
      <c r="B7" s="4" t="s">
        <v>14</v>
      </c>
      <c r="C7" s="4" t="s">
        <v>15</v>
      </c>
      <c r="D7" s="10" t="s">
        <v>11</v>
      </c>
      <c r="E7" s="4" t="s">
        <v>16</v>
      </c>
    </row>
    <row r="8" ht="34" spans="1:5">
      <c r="A8" s="9" t="s">
        <v>17</v>
      </c>
      <c r="B8" s="4" t="s">
        <v>18</v>
      </c>
      <c r="C8" s="4" t="s">
        <v>19</v>
      </c>
      <c r="D8" s="12" t="s">
        <v>20</v>
      </c>
      <c r="E8" s="4" t="s">
        <v>21</v>
      </c>
    </row>
    <row r="9" ht="34" spans="1:5">
      <c r="A9" s="9" t="s">
        <v>22</v>
      </c>
      <c r="B9" s="4" t="s">
        <v>23</v>
      </c>
      <c r="C9" s="4" t="s">
        <v>24</v>
      </c>
      <c r="D9" s="13" t="s">
        <v>25</v>
      </c>
      <c r="E9" s="4" t="s">
        <v>26</v>
      </c>
    </row>
    <row r="10" ht="34" spans="1:5">
      <c r="A10" s="9" t="s">
        <v>27</v>
      </c>
      <c r="B10" s="4" t="s">
        <v>28</v>
      </c>
      <c r="C10" s="4" t="s">
        <v>29</v>
      </c>
      <c r="D10" s="12" t="s">
        <v>20</v>
      </c>
      <c r="E10" s="4" t="s">
        <v>30</v>
      </c>
    </row>
    <row r="11" ht="34" spans="1:5">
      <c r="A11" s="9" t="s">
        <v>31</v>
      </c>
      <c r="B11" s="4" t="s">
        <v>32</v>
      </c>
      <c r="C11" s="4" t="s">
        <v>33</v>
      </c>
      <c r="D11" s="12" t="s">
        <v>20</v>
      </c>
      <c r="E11" s="4" t="s">
        <v>34</v>
      </c>
    </row>
    <row r="12" ht="34" spans="1:5">
      <c r="A12" s="9" t="s">
        <v>35</v>
      </c>
      <c r="B12" s="4" t="s">
        <v>36</v>
      </c>
      <c r="C12" s="4" t="s">
        <v>37</v>
      </c>
      <c r="D12" s="12" t="s">
        <v>20</v>
      </c>
      <c r="E12" s="4" t="s">
        <v>38</v>
      </c>
    </row>
    <row r="13" spans="1:5">
      <c r="A13" s="16" t="s">
        <v>39</v>
      </c>
      <c r="B13" s="17"/>
      <c r="C13" s="17"/>
      <c r="D13" s="17"/>
      <c r="E13" s="17"/>
    </row>
    <row r="14" ht="34" spans="1:5">
      <c r="A14" s="9" t="s">
        <v>40</v>
      </c>
      <c r="B14" s="4" t="s">
        <v>41</v>
      </c>
      <c r="C14" s="4" t="s">
        <v>42</v>
      </c>
      <c r="D14" s="12" t="s">
        <v>20</v>
      </c>
      <c r="E14" s="4" t="s">
        <v>43</v>
      </c>
    </row>
    <row r="15" ht="34" spans="1:5">
      <c r="A15" s="9" t="s">
        <v>44</v>
      </c>
      <c r="B15" s="4" t="s">
        <v>45</v>
      </c>
      <c r="C15" s="4" t="s">
        <v>46</v>
      </c>
      <c r="D15" s="13" t="s">
        <v>25</v>
      </c>
      <c r="E15" s="4" t="s">
        <v>47</v>
      </c>
    </row>
    <row r="16" ht="34" spans="1:5">
      <c r="A16" s="9" t="s">
        <v>48</v>
      </c>
      <c r="B16" s="4" t="s">
        <v>49</v>
      </c>
      <c r="C16" s="4" t="s">
        <v>50</v>
      </c>
      <c r="D16" s="10" t="s">
        <v>11</v>
      </c>
      <c r="E16" s="4" t="s">
        <v>51</v>
      </c>
    </row>
    <row r="17" ht="34" spans="1:5">
      <c r="A17" s="9" t="s">
        <v>52</v>
      </c>
      <c r="B17" s="4" t="s">
        <v>53</v>
      </c>
      <c r="C17" s="4" t="s">
        <v>54</v>
      </c>
      <c r="D17" s="10" t="s">
        <v>11</v>
      </c>
      <c r="E17" s="4" t="s">
        <v>55</v>
      </c>
    </row>
    <row r="18" ht="34" spans="1:5">
      <c r="A18" s="9" t="s">
        <v>56</v>
      </c>
      <c r="B18" s="4" t="s">
        <v>57</v>
      </c>
      <c r="C18" s="4" t="s">
        <v>58</v>
      </c>
      <c r="D18" s="13" t="s">
        <v>25</v>
      </c>
      <c r="E18" s="4" t="s">
        <v>59</v>
      </c>
    </row>
    <row r="19" ht="34" spans="1:5">
      <c r="A19" s="9" t="s">
        <v>60</v>
      </c>
      <c r="B19" s="4" t="s">
        <v>61</v>
      </c>
      <c r="C19" s="4" t="s">
        <v>62</v>
      </c>
      <c r="D19" s="10" t="s">
        <v>11</v>
      </c>
      <c r="E19" s="4" t="s">
        <v>63</v>
      </c>
    </row>
    <row r="20" ht="34" spans="1:5">
      <c r="A20" s="9" t="s">
        <v>64</v>
      </c>
      <c r="B20" s="4" t="s">
        <v>65</v>
      </c>
      <c r="C20" s="4" t="s">
        <v>66</v>
      </c>
      <c r="D20" s="10" t="s">
        <v>11</v>
      </c>
      <c r="E20" s="4" t="s">
        <v>67</v>
      </c>
    </row>
    <row r="21" spans="1:5">
      <c r="A21" s="16" t="s">
        <v>68</v>
      </c>
      <c r="B21" s="17"/>
      <c r="C21" s="17"/>
      <c r="D21" s="17"/>
      <c r="E21" s="17"/>
    </row>
    <row r="22" ht="34" spans="1:5">
      <c r="A22" s="9" t="s">
        <v>69</v>
      </c>
      <c r="B22" s="4" t="s">
        <v>70</v>
      </c>
      <c r="C22" s="4" t="s">
        <v>71</v>
      </c>
      <c r="D22" s="13" t="s">
        <v>25</v>
      </c>
      <c r="E22" s="4" t="s">
        <v>72</v>
      </c>
    </row>
    <row r="23" ht="34" spans="1:5">
      <c r="A23" s="9" t="s">
        <v>73</v>
      </c>
      <c r="B23" s="4" t="s">
        <v>74</v>
      </c>
      <c r="C23" s="4" t="s">
        <v>75</v>
      </c>
      <c r="D23" s="10" t="s">
        <v>11</v>
      </c>
      <c r="E23" s="4" t="s">
        <v>76</v>
      </c>
    </row>
    <row r="24" ht="34" spans="1:5">
      <c r="A24" s="9" t="s">
        <v>77</v>
      </c>
      <c r="B24" s="4" t="s">
        <v>78</v>
      </c>
      <c r="C24" s="4" t="s">
        <v>79</v>
      </c>
      <c r="D24" s="13" t="s">
        <v>25</v>
      </c>
      <c r="E24" s="4" t="s">
        <v>80</v>
      </c>
    </row>
    <row r="25" ht="34" spans="1:5">
      <c r="A25" s="9" t="s">
        <v>81</v>
      </c>
      <c r="B25" s="4" t="s">
        <v>82</v>
      </c>
      <c r="C25" s="4" t="s">
        <v>83</v>
      </c>
      <c r="D25" s="10" t="s">
        <v>11</v>
      </c>
      <c r="E25" s="4" t="s">
        <v>84</v>
      </c>
    </row>
    <row r="26" ht="34" spans="1:5">
      <c r="A26" s="9" t="s">
        <v>85</v>
      </c>
      <c r="B26" s="4" t="s">
        <v>86</v>
      </c>
      <c r="C26" s="4" t="s">
        <v>87</v>
      </c>
      <c r="D26" s="10" t="s">
        <v>11</v>
      </c>
      <c r="E26" s="4" t="s">
        <v>88</v>
      </c>
    </row>
    <row r="27" ht="34" spans="1:5">
      <c r="A27" s="9" t="s">
        <v>89</v>
      </c>
      <c r="B27" s="4" t="s">
        <v>90</v>
      </c>
      <c r="C27" s="4" t="s">
        <v>91</v>
      </c>
      <c r="D27" s="13" t="s">
        <v>25</v>
      </c>
      <c r="E27" s="4" t="s">
        <v>92</v>
      </c>
    </row>
    <row r="28" ht="34" spans="1:5">
      <c r="A28" s="9" t="s">
        <v>93</v>
      </c>
      <c r="B28" s="4" t="s">
        <v>94</v>
      </c>
      <c r="C28" s="4" t="s">
        <v>95</v>
      </c>
      <c r="D28" s="12" t="s">
        <v>20</v>
      </c>
      <c r="E28" s="4" t="s">
        <v>96</v>
      </c>
    </row>
    <row r="29" ht="17" spans="1:5">
      <c r="A29" s="9" t="s">
        <v>97</v>
      </c>
      <c r="B29" s="4" t="s">
        <v>98</v>
      </c>
      <c r="C29" s="4" t="s">
        <v>99</v>
      </c>
      <c r="D29" s="10" t="s">
        <v>11</v>
      </c>
      <c r="E29" s="4" t="s">
        <v>100</v>
      </c>
    </row>
    <row r="30" spans="1:5">
      <c r="A30" s="16" t="s">
        <v>101</v>
      </c>
      <c r="B30" s="17"/>
      <c r="C30" s="17"/>
      <c r="D30" s="17"/>
      <c r="E30" s="17"/>
    </row>
    <row r="31" ht="34" spans="1:5">
      <c r="A31" s="9" t="s">
        <v>102</v>
      </c>
      <c r="B31" s="4" t="s">
        <v>103</v>
      </c>
      <c r="C31" s="4" t="s">
        <v>104</v>
      </c>
      <c r="D31" s="12" t="s">
        <v>20</v>
      </c>
      <c r="E31" s="4" t="s">
        <v>105</v>
      </c>
    </row>
    <row r="32" ht="34" spans="1:5">
      <c r="A32" s="9" t="s">
        <v>106</v>
      </c>
      <c r="B32" s="4" t="s">
        <v>107</v>
      </c>
      <c r="C32" s="4" t="s">
        <v>108</v>
      </c>
      <c r="D32" s="10" t="s">
        <v>11</v>
      </c>
      <c r="E32" s="4" t="s">
        <v>109</v>
      </c>
    </row>
    <row r="33" ht="34" spans="1:5">
      <c r="A33" s="9" t="s">
        <v>110</v>
      </c>
      <c r="B33" s="4" t="s">
        <v>111</v>
      </c>
      <c r="C33" s="4" t="s">
        <v>112</v>
      </c>
      <c r="D33" s="13" t="s">
        <v>25</v>
      </c>
      <c r="E33" s="4" t="s">
        <v>113</v>
      </c>
    </row>
    <row r="34" ht="34" spans="1:5">
      <c r="A34" s="9" t="s">
        <v>114</v>
      </c>
      <c r="B34" s="4" t="s">
        <v>115</v>
      </c>
      <c r="C34" s="4" t="s">
        <v>116</v>
      </c>
      <c r="D34" s="13" t="s">
        <v>25</v>
      </c>
      <c r="E34" s="4" t="s">
        <v>117</v>
      </c>
    </row>
    <row r="35" ht="51" spans="1:5">
      <c r="A35" s="9" t="s">
        <v>118</v>
      </c>
      <c r="B35" s="4" t="s">
        <v>119</v>
      </c>
      <c r="C35" s="4" t="s">
        <v>120</v>
      </c>
      <c r="D35" s="13" t="s">
        <v>25</v>
      </c>
      <c r="E35" s="4" t="s">
        <v>121</v>
      </c>
    </row>
    <row r="36" ht="34" spans="1:5">
      <c r="A36" s="9" t="s">
        <v>122</v>
      </c>
      <c r="B36" s="4" t="s">
        <v>123</v>
      </c>
      <c r="C36" s="4" t="s">
        <v>124</v>
      </c>
      <c r="D36" s="10" t="s">
        <v>11</v>
      </c>
      <c r="E36" s="4" t="s">
        <v>125</v>
      </c>
    </row>
    <row r="37" ht="34" spans="1:5">
      <c r="A37" s="9" t="s">
        <v>126</v>
      </c>
      <c r="B37" s="4" t="s">
        <v>127</v>
      </c>
      <c r="C37" s="4" t="s">
        <v>128</v>
      </c>
      <c r="D37" s="12" t="s">
        <v>20</v>
      </c>
      <c r="E37" s="4" t="s">
        <v>129</v>
      </c>
    </row>
    <row r="38" ht="51" spans="1:5">
      <c r="A38" s="9" t="s">
        <v>130</v>
      </c>
      <c r="B38" s="4" t="s">
        <v>131</v>
      </c>
      <c r="C38" s="4" t="s">
        <v>132</v>
      </c>
      <c r="D38" s="13" t="s">
        <v>25</v>
      </c>
      <c r="E38" s="4" t="s">
        <v>133</v>
      </c>
    </row>
    <row r="39" ht="34" spans="1:5">
      <c r="A39" s="9" t="s">
        <v>134</v>
      </c>
      <c r="B39" s="4" t="s">
        <v>135</v>
      </c>
      <c r="C39" s="4" t="s">
        <v>136</v>
      </c>
      <c r="D39" s="13" t="s">
        <v>25</v>
      </c>
      <c r="E39" s="4" t="s">
        <v>137</v>
      </c>
    </row>
    <row r="40" ht="34" spans="1:5">
      <c r="A40" s="9" t="s">
        <v>138</v>
      </c>
      <c r="B40" s="4" t="s">
        <v>139</v>
      </c>
      <c r="C40" s="4" t="s">
        <v>140</v>
      </c>
      <c r="D40" s="13" t="s">
        <v>25</v>
      </c>
      <c r="E40" s="4" t="s">
        <v>141</v>
      </c>
    </row>
    <row r="41" ht="17" spans="1:5">
      <c r="A41" s="9" t="s">
        <v>142</v>
      </c>
      <c r="B41" s="4" t="s">
        <v>143</v>
      </c>
      <c r="C41" s="4" t="s">
        <v>144</v>
      </c>
      <c r="D41" s="10" t="s">
        <v>11</v>
      </c>
      <c r="E41" s="4" t="s">
        <v>145</v>
      </c>
    </row>
    <row r="42" ht="17" spans="1:5">
      <c r="A42" s="9" t="s">
        <v>146</v>
      </c>
      <c r="B42" s="4" t="s">
        <v>147</v>
      </c>
      <c r="C42" s="4" t="s">
        <v>148</v>
      </c>
      <c r="D42" s="10" t="s">
        <v>11</v>
      </c>
      <c r="E42" s="4" t="s">
        <v>149</v>
      </c>
    </row>
    <row r="43" ht="34" spans="1:5">
      <c r="A43" s="9" t="s">
        <v>150</v>
      </c>
      <c r="B43" s="4" t="s">
        <v>151</v>
      </c>
      <c r="C43" s="4" t="s">
        <v>152</v>
      </c>
      <c r="D43" s="10" t="s">
        <v>11</v>
      </c>
      <c r="E43" s="4" t="s">
        <v>153</v>
      </c>
    </row>
    <row r="44" spans="1:5">
      <c r="A44" s="16" t="s">
        <v>154</v>
      </c>
      <c r="B44" s="17"/>
      <c r="C44" s="17"/>
      <c r="D44" s="17"/>
      <c r="E44" s="17"/>
    </row>
    <row r="45" ht="34" spans="1:5">
      <c r="A45" s="9" t="s">
        <v>155</v>
      </c>
      <c r="B45" s="4" t="s">
        <v>156</v>
      </c>
      <c r="C45" s="4" t="s">
        <v>157</v>
      </c>
      <c r="D45" s="12" t="s">
        <v>20</v>
      </c>
      <c r="E45" s="4" t="s">
        <v>158</v>
      </c>
    </row>
    <row r="46" ht="34" spans="1:5">
      <c r="A46" s="9" t="s">
        <v>159</v>
      </c>
      <c r="B46" s="4" t="s">
        <v>160</v>
      </c>
      <c r="C46" s="4" t="s">
        <v>161</v>
      </c>
      <c r="D46" s="10" t="s">
        <v>11</v>
      </c>
      <c r="E46" s="4" t="s">
        <v>162</v>
      </c>
    </row>
    <row r="47" ht="34" spans="1:5">
      <c r="A47" s="9" t="s">
        <v>163</v>
      </c>
      <c r="B47" s="4" t="s">
        <v>164</v>
      </c>
      <c r="C47" s="4" t="s">
        <v>165</v>
      </c>
      <c r="D47" s="10" t="s">
        <v>11</v>
      </c>
      <c r="E47" s="4" t="s">
        <v>166</v>
      </c>
    </row>
    <row r="48" ht="17" spans="1:5">
      <c r="A48" s="9" t="s">
        <v>167</v>
      </c>
      <c r="B48" s="4" t="s">
        <v>168</v>
      </c>
      <c r="C48" s="4" t="s">
        <v>169</v>
      </c>
      <c r="D48" s="10" t="s">
        <v>11</v>
      </c>
      <c r="E48" s="4" t="s">
        <v>170</v>
      </c>
    </row>
    <row r="49" ht="34" spans="1:5">
      <c r="A49" s="9" t="s">
        <v>171</v>
      </c>
      <c r="B49" s="4" t="s">
        <v>172</v>
      </c>
      <c r="C49" s="4" t="s">
        <v>173</v>
      </c>
      <c r="D49" s="13" t="s">
        <v>25</v>
      </c>
      <c r="E49" s="4" t="s">
        <v>174</v>
      </c>
    </row>
    <row r="50" ht="51" spans="1:5">
      <c r="A50" s="9" t="s">
        <v>175</v>
      </c>
      <c r="B50" s="4" t="s">
        <v>176</v>
      </c>
      <c r="C50" s="4" t="s">
        <v>177</v>
      </c>
      <c r="D50" s="12" t="s">
        <v>20</v>
      </c>
      <c r="E50" s="4" t="s">
        <v>178</v>
      </c>
    </row>
    <row r="51" ht="34" spans="1:5">
      <c r="A51" s="9" t="s">
        <v>179</v>
      </c>
      <c r="B51" s="4" t="s">
        <v>180</v>
      </c>
      <c r="C51" s="4" t="s">
        <v>181</v>
      </c>
      <c r="D51" s="10" t="s">
        <v>11</v>
      </c>
      <c r="E51" s="4" t="s">
        <v>182</v>
      </c>
    </row>
    <row r="52" ht="17" spans="1:5">
      <c r="A52" s="9" t="s">
        <v>183</v>
      </c>
      <c r="B52" s="4" t="s">
        <v>184</v>
      </c>
      <c r="C52" s="4" t="s">
        <v>185</v>
      </c>
      <c r="D52" s="10" t="s">
        <v>11</v>
      </c>
      <c r="E52" s="4" t="s">
        <v>186</v>
      </c>
    </row>
    <row r="53" ht="34" spans="1:5">
      <c r="A53" s="9" t="s">
        <v>187</v>
      </c>
      <c r="B53" s="4" t="s">
        <v>188</v>
      </c>
      <c r="C53" s="4" t="s">
        <v>189</v>
      </c>
      <c r="D53" s="13" t="s">
        <v>25</v>
      </c>
      <c r="E53" s="4" t="s">
        <v>190</v>
      </c>
    </row>
    <row r="54" ht="34" spans="1:5">
      <c r="A54" s="9" t="s">
        <v>191</v>
      </c>
      <c r="B54" s="4" t="s">
        <v>192</v>
      </c>
      <c r="C54" s="4" t="s">
        <v>193</v>
      </c>
      <c r="D54" s="13" t="s">
        <v>25</v>
      </c>
      <c r="E54" s="4" t="s">
        <v>194</v>
      </c>
    </row>
    <row r="55" ht="34" spans="1:5">
      <c r="A55" s="9" t="s">
        <v>195</v>
      </c>
      <c r="B55" s="4" t="s">
        <v>196</v>
      </c>
      <c r="C55" s="4" t="s">
        <v>197</v>
      </c>
      <c r="D55" s="12" t="s">
        <v>20</v>
      </c>
      <c r="E55" s="4" t="s">
        <v>198</v>
      </c>
    </row>
    <row r="56" ht="34" spans="1:5">
      <c r="A56" s="9" t="s">
        <v>199</v>
      </c>
      <c r="B56" s="4" t="s">
        <v>200</v>
      </c>
      <c r="C56" s="4" t="s">
        <v>201</v>
      </c>
      <c r="D56" s="13" t="s">
        <v>25</v>
      </c>
      <c r="E56" s="4" t="s">
        <v>202</v>
      </c>
    </row>
    <row r="57" ht="34" spans="1:5">
      <c r="A57" s="9" t="s">
        <v>203</v>
      </c>
      <c r="B57" s="4" t="s">
        <v>204</v>
      </c>
      <c r="C57" s="4" t="s">
        <v>205</v>
      </c>
      <c r="D57" s="13" t="s">
        <v>25</v>
      </c>
      <c r="E57" s="4" t="s">
        <v>206</v>
      </c>
    </row>
    <row r="58" ht="34" spans="1:5">
      <c r="A58" s="9" t="s">
        <v>207</v>
      </c>
      <c r="B58" s="4" t="s">
        <v>208</v>
      </c>
      <c r="C58" s="4" t="s">
        <v>209</v>
      </c>
      <c r="D58" s="10" t="s">
        <v>11</v>
      </c>
      <c r="E58" s="4" t="s">
        <v>210</v>
      </c>
    </row>
    <row r="59" ht="17" spans="1:5">
      <c r="A59" s="9" t="s">
        <v>211</v>
      </c>
      <c r="B59" s="4" t="s">
        <v>212</v>
      </c>
      <c r="C59" s="4" t="s">
        <v>213</v>
      </c>
      <c r="D59" s="10" t="s">
        <v>11</v>
      </c>
      <c r="E59" s="4" t="s">
        <v>214</v>
      </c>
    </row>
    <row r="60" spans="1:5">
      <c r="A60" s="16" t="s">
        <v>215</v>
      </c>
      <c r="B60" s="17"/>
      <c r="C60" s="17"/>
      <c r="D60" s="17"/>
      <c r="E60" s="17"/>
    </row>
    <row r="61" ht="34" spans="1:5">
      <c r="A61" s="9" t="s">
        <v>216</v>
      </c>
      <c r="B61" s="4" t="s">
        <v>217</v>
      </c>
      <c r="C61" s="4" t="s">
        <v>218</v>
      </c>
      <c r="D61" s="10" t="s">
        <v>11</v>
      </c>
      <c r="E61" s="4" t="s">
        <v>219</v>
      </c>
    </row>
    <row r="62" ht="34" spans="1:5">
      <c r="A62" s="9" t="s">
        <v>220</v>
      </c>
      <c r="B62" s="4" t="s">
        <v>221</v>
      </c>
      <c r="C62" s="4" t="s">
        <v>222</v>
      </c>
      <c r="D62" s="10" t="s">
        <v>11</v>
      </c>
      <c r="E62" s="4" t="s">
        <v>223</v>
      </c>
    </row>
    <row r="63" ht="34" spans="1:5">
      <c r="A63" s="9" t="s">
        <v>224</v>
      </c>
      <c r="B63" s="4" t="s">
        <v>225</v>
      </c>
      <c r="C63" s="4" t="s">
        <v>226</v>
      </c>
      <c r="D63" s="10" t="s">
        <v>11</v>
      </c>
      <c r="E63" s="4" t="s">
        <v>227</v>
      </c>
    </row>
    <row r="64" ht="34" spans="1:5">
      <c r="A64" s="9" t="s">
        <v>228</v>
      </c>
      <c r="B64" s="4" t="s">
        <v>229</v>
      </c>
      <c r="C64" s="4" t="s">
        <v>230</v>
      </c>
      <c r="D64" s="10" t="s">
        <v>11</v>
      </c>
      <c r="E64" s="4" t="s">
        <v>231</v>
      </c>
    </row>
    <row r="65" ht="34" spans="1:5">
      <c r="A65" s="9" t="s">
        <v>232</v>
      </c>
      <c r="B65" s="4" t="s">
        <v>233</v>
      </c>
      <c r="C65" s="4" t="s">
        <v>234</v>
      </c>
      <c r="D65" s="13" t="s">
        <v>25</v>
      </c>
      <c r="E65" s="4" t="s">
        <v>235</v>
      </c>
    </row>
    <row r="66" ht="34" spans="1:5">
      <c r="A66" s="9" t="s">
        <v>236</v>
      </c>
      <c r="B66" s="4" t="s">
        <v>237</v>
      </c>
      <c r="C66" s="4" t="s">
        <v>238</v>
      </c>
      <c r="D66" s="10" t="s">
        <v>11</v>
      </c>
      <c r="E66" s="4" t="s">
        <v>239</v>
      </c>
    </row>
    <row r="67" ht="34" spans="1:5">
      <c r="A67" s="9" t="s">
        <v>240</v>
      </c>
      <c r="B67" s="4" t="s">
        <v>241</v>
      </c>
      <c r="C67" s="4" t="s">
        <v>242</v>
      </c>
      <c r="D67" s="13" t="s">
        <v>25</v>
      </c>
      <c r="E67" s="4" t="s">
        <v>243</v>
      </c>
    </row>
    <row r="68" ht="68" spans="1:5">
      <c r="A68" s="9" t="s">
        <v>244</v>
      </c>
      <c r="B68" s="4" t="s">
        <v>245</v>
      </c>
      <c r="C68" s="4" t="s">
        <v>246</v>
      </c>
      <c r="D68" s="12" t="s">
        <v>20</v>
      </c>
      <c r="E68" s="4" t="s">
        <v>247</v>
      </c>
    </row>
    <row r="69" ht="17" spans="1:5">
      <c r="A69" s="9" t="s">
        <v>248</v>
      </c>
      <c r="B69" s="4" t="s">
        <v>249</v>
      </c>
      <c r="C69" s="4" t="s">
        <v>250</v>
      </c>
      <c r="D69" s="10" t="s">
        <v>11</v>
      </c>
      <c r="E69" s="4" t="s">
        <v>251</v>
      </c>
    </row>
    <row r="70" ht="34" spans="1:5">
      <c r="A70" s="9" t="s">
        <v>252</v>
      </c>
      <c r="B70" s="4" t="s">
        <v>253</v>
      </c>
      <c r="C70" s="4" t="s">
        <v>254</v>
      </c>
      <c r="D70" s="10" t="s">
        <v>11</v>
      </c>
      <c r="E70" s="4" t="s">
        <v>255</v>
      </c>
    </row>
    <row r="71" ht="34" spans="1:5">
      <c r="A71" s="9" t="s">
        <v>256</v>
      </c>
      <c r="B71" s="4" t="s">
        <v>257</v>
      </c>
      <c r="C71" s="4" t="s">
        <v>258</v>
      </c>
      <c r="D71" s="13" t="s">
        <v>25</v>
      </c>
      <c r="E71" s="4" t="s">
        <v>259</v>
      </c>
    </row>
    <row r="72" ht="34" spans="1:5">
      <c r="A72" s="9" t="s">
        <v>260</v>
      </c>
      <c r="B72" s="4" t="s">
        <v>261</v>
      </c>
      <c r="C72" s="4" t="s">
        <v>262</v>
      </c>
      <c r="D72" s="10" t="s">
        <v>11</v>
      </c>
      <c r="E72" s="4" t="s">
        <v>263</v>
      </c>
    </row>
    <row r="73" spans="1:5">
      <c r="A73" s="16" t="s">
        <v>264</v>
      </c>
      <c r="B73" s="17"/>
      <c r="C73" s="17"/>
      <c r="D73" s="17"/>
      <c r="E73" s="17"/>
    </row>
    <row r="74" ht="34" spans="1:5">
      <c r="A74" s="9" t="s">
        <v>265</v>
      </c>
      <c r="B74" s="4" t="s">
        <v>266</v>
      </c>
      <c r="C74" s="4" t="s">
        <v>267</v>
      </c>
      <c r="D74" s="13" t="s">
        <v>25</v>
      </c>
      <c r="E74" s="4" t="s">
        <v>268</v>
      </c>
    </row>
    <row r="75" ht="34" spans="1:5">
      <c r="A75" s="9" t="s">
        <v>269</v>
      </c>
      <c r="B75" s="4" t="s">
        <v>270</v>
      </c>
      <c r="C75" s="4" t="s">
        <v>271</v>
      </c>
      <c r="D75" s="13" t="s">
        <v>25</v>
      </c>
      <c r="E75" s="4" t="s">
        <v>272</v>
      </c>
    </row>
    <row r="76" ht="34" spans="1:5">
      <c r="A76" s="9" t="s">
        <v>273</v>
      </c>
      <c r="B76" s="4" t="s">
        <v>274</v>
      </c>
      <c r="C76" s="4" t="s">
        <v>275</v>
      </c>
      <c r="D76" s="10" t="s">
        <v>11</v>
      </c>
      <c r="E76" s="4" t="s">
        <v>276</v>
      </c>
    </row>
    <row r="77" ht="34" spans="1:5">
      <c r="A77" s="9" t="s">
        <v>277</v>
      </c>
      <c r="B77" s="4" t="s">
        <v>278</v>
      </c>
      <c r="C77" s="4" t="s">
        <v>279</v>
      </c>
      <c r="D77" s="10" t="s">
        <v>11</v>
      </c>
      <c r="E77" s="4" t="s">
        <v>280</v>
      </c>
    </row>
    <row r="78" ht="34" spans="1:5">
      <c r="A78" s="9" t="s">
        <v>281</v>
      </c>
      <c r="B78" s="4" t="s">
        <v>282</v>
      </c>
      <c r="C78" s="4" t="s">
        <v>283</v>
      </c>
      <c r="D78" s="13" t="s">
        <v>25</v>
      </c>
      <c r="E78" s="4" t="s">
        <v>284</v>
      </c>
    </row>
    <row r="79" ht="34" spans="1:5">
      <c r="A79" s="9" t="s">
        <v>285</v>
      </c>
      <c r="B79" s="4" t="s">
        <v>286</v>
      </c>
      <c r="C79" s="4" t="s">
        <v>287</v>
      </c>
      <c r="D79" s="10" t="s">
        <v>11</v>
      </c>
      <c r="E79" s="4" t="s">
        <v>288</v>
      </c>
    </row>
    <row r="80" ht="34" spans="1:5">
      <c r="A80" s="9" t="s">
        <v>289</v>
      </c>
      <c r="B80" s="4" t="s">
        <v>290</v>
      </c>
      <c r="C80" s="4" t="s">
        <v>291</v>
      </c>
      <c r="D80" s="10" t="s">
        <v>11</v>
      </c>
      <c r="E80" s="4" t="s">
        <v>292</v>
      </c>
    </row>
    <row r="81" ht="34" spans="1:5">
      <c r="A81" s="9" t="s">
        <v>293</v>
      </c>
      <c r="B81" s="4" t="s">
        <v>294</v>
      </c>
      <c r="C81" s="4" t="s">
        <v>295</v>
      </c>
      <c r="D81" s="10" t="s">
        <v>11</v>
      </c>
      <c r="E81" s="4" t="s">
        <v>296</v>
      </c>
    </row>
    <row r="82" ht="34" spans="1:5">
      <c r="A82" s="9" t="s">
        <v>297</v>
      </c>
      <c r="B82" s="4" t="s">
        <v>298</v>
      </c>
      <c r="C82" s="4" t="s">
        <v>299</v>
      </c>
      <c r="D82" s="10" t="s">
        <v>11</v>
      </c>
      <c r="E82" s="4" t="s">
        <v>300</v>
      </c>
    </row>
    <row r="83" ht="17" spans="1:5">
      <c r="A83" s="9" t="s">
        <v>301</v>
      </c>
      <c r="B83" s="4" t="s">
        <v>302</v>
      </c>
      <c r="C83" s="4" t="s">
        <v>303</v>
      </c>
      <c r="D83" s="10" t="s">
        <v>11</v>
      </c>
      <c r="E83" s="4" t="s">
        <v>304</v>
      </c>
    </row>
    <row r="84" spans="1:5">
      <c r="A84" s="16" t="s">
        <v>305</v>
      </c>
      <c r="B84" s="17"/>
      <c r="C84" s="17"/>
      <c r="D84" s="17"/>
      <c r="E84" s="17"/>
    </row>
    <row r="85" ht="17" spans="1:5">
      <c r="A85" s="9" t="s">
        <v>306</v>
      </c>
      <c r="B85" s="4" t="s">
        <v>307</v>
      </c>
      <c r="C85" s="4" t="s">
        <v>308</v>
      </c>
      <c r="D85" s="10" t="s">
        <v>11</v>
      </c>
      <c r="E85" s="4" t="s">
        <v>309</v>
      </c>
    </row>
    <row r="86" ht="34" spans="1:5">
      <c r="A86" s="9" t="s">
        <v>310</v>
      </c>
      <c r="B86" s="4" t="s">
        <v>311</v>
      </c>
      <c r="C86" s="4" t="s">
        <v>312</v>
      </c>
      <c r="D86" s="10" t="s">
        <v>11</v>
      </c>
      <c r="E86" s="4" t="s">
        <v>313</v>
      </c>
    </row>
    <row r="87" ht="17" spans="1:5">
      <c r="A87" s="9" t="s">
        <v>314</v>
      </c>
      <c r="B87" s="4" t="s">
        <v>315</v>
      </c>
      <c r="C87" s="4" t="s">
        <v>316</v>
      </c>
      <c r="D87" s="13" t="s">
        <v>25</v>
      </c>
      <c r="E87" s="4" t="s">
        <v>317</v>
      </c>
    </row>
    <row r="88" ht="34" spans="1:5">
      <c r="A88" s="9" t="s">
        <v>318</v>
      </c>
      <c r="B88" s="4" t="s">
        <v>319</v>
      </c>
      <c r="C88" s="4" t="s">
        <v>320</v>
      </c>
      <c r="D88" s="10" t="s">
        <v>11</v>
      </c>
      <c r="E88" s="4" t="s">
        <v>321</v>
      </c>
    </row>
    <row r="89" ht="34" spans="1:5">
      <c r="A89" s="9" t="s">
        <v>322</v>
      </c>
      <c r="B89" s="4" t="s">
        <v>323</v>
      </c>
      <c r="C89" s="4" t="s">
        <v>324</v>
      </c>
      <c r="D89" s="10" t="s">
        <v>11</v>
      </c>
      <c r="E89" s="4" t="s">
        <v>325</v>
      </c>
    </row>
    <row r="90" spans="1:5">
      <c r="A90" s="16" t="s">
        <v>326</v>
      </c>
      <c r="B90" s="17"/>
      <c r="C90" s="17"/>
      <c r="D90" s="17"/>
      <c r="E90" s="17"/>
    </row>
    <row r="91" ht="51" spans="1:5">
      <c r="A91" s="9" t="s">
        <v>327</v>
      </c>
      <c r="B91" s="4" t="s">
        <v>328</v>
      </c>
      <c r="C91" s="4" t="s">
        <v>329</v>
      </c>
      <c r="D91" s="12" t="s">
        <v>20</v>
      </c>
      <c r="E91" s="4" t="s">
        <v>330</v>
      </c>
    </row>
    <row r="92" ht="34" spans="1:5">
      <c r="A92" s="9" t="s">
        <v>331</v>
      </c>
      <c r="B92" s="4" t="s">
        <v>332</v>
      </c>
      <c r="C92" s="4" t="s">
        <v>333</v>
      </c>
      <c r="D92" s="10" t="s">
        <v>11</v>
      </c>
      <c r="E92" s="4" t="s">
        <v>334</v>
      </c>
    </row>
    <row r="93" ht="34" spans="1:5">
      <c r="A93" s="9" t="s">
        <v>335</v>
      </c>
      <c r="B93" s="4" t="s">
        <v>336</v>
      </c>
      <c r="C93" s="4" t="s">
        <v>337</v>
      </c>
      <c r="D93" s="13" t="s">
        <v>25</v>
      </c>
      <c r="E93" s="4" t="s">
        <v>338</v>
      </c>
    </row>
    <row r="94" ht="34" spans="1:5">
      <c r="A94" s="9" t="s">
        <v>339</v>
      </c>
      <c r="B94" s="4" t="s">
        <v>340</v>
      </c>
      <c r="C94" s="4" t="s">
        <v>341</v>
      </c>
      <c r="D94" s="10" t="s">
        <v>11</v>
      </c>
      <c r="E94" s="4" t="s">
        <v>342</v>
      </c>
    </row>
    <row r="95" ht="34" spans="1:5">
      <c r="A95" s="9" t="s">
        <v>343</v>
      </c>
      <c r="B95" s="4" t="s">
        <v>344</v>
      </c>
      <c r="C95" s="4" t="s">
        <v>345</v>
      </c>
      <c r="D95" s="10" t="s">
        <v>11</v>
      </c>
      <c r="E95" s="4" t="s">
        <v>346</v>
      </c>
    </row>
    <row r="96" ht="34" spans="1:5">
      <c r="A96" s="9" t="s">
        <v>347</v>
      </c>
      <c r="B96" s="4" t="s">
        <v>348</v>
      </c>
      <c r="C96" s="4" t="s">
        <v>349</v>
      </c>
      <c r="D96" s="10" t="s">
        <v>11</v>
      </c>
      <c r="E96" s="4" t="s">
        <v>350</v>
      </c>
    </row>
    <row r="97" ht="34" spans="1:5">
      <c r="A97" s="9" t="s">
        <v>351</v>
      </c>
      <c r="B97" s="4" t="s">
        <v>352</v>
      </c>
      <c r="C97" s="4" t="s">
        <v>353</v>
      </c>
      <c r="D97" s="12" t="s">
        <v>20</v>
      </c>
      <c r="E97" s="4" t="s">
        <v>354</v>
      </c>
    </row>
  </sheetData>
  <mergeCells count="11">
    <mergeCell ref="A1:E1"/>
    <mergeCell ref="A2:E2"/>
    <mergeCell ref="A5:E5"/>
    <mergeCell ref="A13:E13"/>
    <mergeCell ref="A21:E21"/>
    <mergeCell ref="A30:E30"/>
    <mergeCell ref="A44:E44"/>
    <mergeCell ref="A60:E60"/>
    <mergeCell ref="A73:E73"/>
    <mergeCell ref="A84:E84"/>
    <mergeCell ref="A90:E90"/>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6"/>
  <sheetViews>
    <sheetView workbookViewId="0">
      <pane ySplit="2" topLeftCell="A3" activePane="bottomLeft" state="frozen"/>
      <selection/>
      <selection pane="bottomLeft" activeCell="A1" sqref="A1:H1"/>
    </sheetView>
  </sheetViews>
  <sheetFormatPr defaultColWidth="9" defaultRowHeight="16.8" outlineLevelCol="7"/>
  <cols>
    <col min="1" max="1" width="9" customWidth="1"/>
    <col min="2" max="2" width="22" customWidth="1"/>
    <col min="3" max="3" width="80" customWidth="1"/>
    <col min="4" max="4" width="7" customWidth="1"/>
    <col min="5" max="5" width="11" customWidth="1"/>
    <col min="6" max="6" width="40" customWidth="1"/>
    <col min="7" max="7" width="30" customWidth="1"/>
    <col min="8" max="8" width="20" customWidth="1"/>
  </cols>
  <sheetData>
    <row r="1" ht="24" customHeight="1" spans="1:8">
      <c r="A1" s="8" t="s">
        <v>355</v>
      </c>
    </row>
    <row r="2" ht="17" spans="1:8">
      <c r="A2" s="3" t="s">
        <v>2</v>
      </c>
      <c r="B2" s="3" t="s">
        <v>356</v>
      </c>
      <c r="C2" s="3" t="s">
        <v>357</v>
      </c>
      <c r="D2" s="3" t="s">
        <v>5</v>
      </c>
      <c r="E2" s="3" t="s">
        <v>358</v>
      </c>
      <c r="F2" s="3" t="s">
        <v>359</v>
      </c>
      <c r="G2" s="3" t="s">
        <v>360</v>
      </c>
      <c r="H2" s="3" t="s">
        <v>361</v>
      </c>
    </row>
    <row r="3" ht="51" spans="1:8">
      <c r="A3" s="9" t="s">
        <v>8</v>
      </c>
      <c r="B3" s="4" t="s">
        <v>9</v>
      </c>
      <c r="C3" s="4" t="s">
        <v>10</v>
      </c>
      <c r="D3" s="10" t="s">
        <v>11</v>
      </c>
      <c r="E3" s="11" t="s">
        <v>362</v>
      </c>
      <c r="F3" s="5" t="s">
        <v>362</v>
      </c>
      <c r="G3" s="5" t="s">
        <v>362</v>
      </c>
      <c r="H3" s="5" t="s">
        <v>362</v>
      </c>
    </row>
    <row r="4" ht="34" spans="1:8">
      <c r="A4" s="9" t="s">
        <v>13</v>
      </c>
      <c r="B4" s="4" t="s">
        <v>14</v>
      </c>
      <c r="C4" s="4" t="s">
        <v>15</v>
      </c>
      <c r="D4" s="10" t="s">
        <v>11</v>
      </c>
      <c r="E4" s="11" t="s">
        <v>362</v>
      </c>
      <c r="F4" s="5" t="s">
        <v>362</v>
      </c>
      <c r="G4" s="5" t="s">
        <v>362</v>
      </c>
      <c r="H4" s="5" t="s">
        <v>362</v>
      </c>
    </row>
    <row r="5" ht="34" spans="1:8">
      <c r="A5" s="9" t="s">
        <v>17</v>
      </c>
      <c r="B5" s="4" t="s">
        <v>18</v>
      </c>
      <c r="C5" s="4" t="s">
        <v>19</v>
      </c>
      <c r="D5" s="12" t="s">
        <v>20</v>
      </c>
      <c r="E5" s="11" t="s">
        <v>362</v>
      </c>
      <c r="F5" s="5" t="s">
        <v>362</v>
      </c>
      <c r="G5" s="5" t="s">
        <v>362</v>
      </c>
      <c r="H5" s="5" t="s">
        <v>362</v>
      </c>
    </row>
    <row r="6" ht="34" spans="1:8">
      <c r="A6" s="9" t="s">
        <v>22</v>
      </c>
      <c r="B6" s="4" t="s">
        <v>23</v>
      </c>
      <c r="C6" s="4" t="s">
        <v>24</v>
      </c>
      <c r="D6" s="13" t="s">
        <v>25</v>
      </c>
      <c r="E6" s="11" t="s">
        <v>362</v>
      </c>
      <c r="F6" s="5" t="s">
        <v>362</v>
      </c>
      <c r="G6" s="5" t="s">
        <v>362</v>
      </c>
      <c r="H6" s="5" t="s">
        <v>362</v>
      </c>
    </row>
    <row r="7" ht="34" spans="1:8">
      <c r="A7" s="9" t="s">
        <v>27</v>
      </c>
      <c r="B7" s="4" t="s">
        <v>28</v>
      </c>
      <c r="C7" s="4" t="s">
        <v>29</v>
      </c>
      <c r="D7" s="12" t="s">
        <v>20</v>
      </c>
      <c r="E7" s="11" t="s">
        <v>362</v>
      </c>
      <c r="F7" s="5" t="s">
        <v>362</v>
      </c>
      <c r="G7" s="5" t="s">
        <v>362</v>
      </c>
      <c r="H7" s="5" t="s">
        <v>362</v>
      </c>
    </row>
    <row r="8" ht="34" spans="1:8">
      <c r="A8" s="9" t="s">
        <v>31</v>
      </c>
      <c r="B8" s="4" t="s">
        <v>32</v>
      </c>
      <c r="C8" s="4" t="s">
        <v>33</v>
      </c>
      <c r="D8" s="12" t="s">
        <v>20</v>
      </c>
      <c r="E8" s="11" t="s">
        <v>362</v>
      </c>
      <c r="F8" s="5" t="s">
        <v>362</v>
      </c>
      <c r="G8" s="5" t="s">
        <v>362</v>
      </c>
      <c r="H8" s="5" t="s">
        <v>362</v>
      </c>
    </row>
    <row r="9" ht="34" spans="1:8">
      <c r="A9" s="9" t="s">
        <v>35</v>
      </c>
      <c r="B9" s="4" t="s">
        <v>36</v>
      </c>
      <c r="C9" s="4" t="s">
        <v>37</v>
      </c>
      <c r="D9" s="12" t="s">
        <v>20</v>
      </c>
      <c r="E9" s="11" t="s">
        <v>362</v>
      </c>
      <c r="F9" s="5" t="s">
        <v>362</v>
      </c>
      <c r="G9" s="5" t="s">
        <v>362</v>
      </c>
      <c r="H9" s="5" t="s">
        <v>362</v>
      </c>
    </row>
    <row r="10" ht="34" spans="1:8">
      <c r="A10" s="9" t="s">
        <v>40</v>
      </c>
      <c r="B10" s="4" t="s">
        <v>41</v>
      </c>
      <c r="C10" s="4" t="s">
        <v>42</v>
      </c>
      <c r="D10" s="12" t="s">
        <v>20</v>
      </c>
      <c r="E10" s="11" t="s">
        <v>362</v>
      </c>
      <c r="F10" s="5" t="s">
        <v>362</v>
      </c>
      <c r="G10" s="5" t="s">
        <v>362</v>
      </c>
      <c r="H10" s="5" t="s">
        <v>362</v>
      </c>
    </row>
    <row r="11" ht="34" spans="1:8">
      <c r="A11" s="9" t="s">
        <v>44</v>
      </c>
      <c r="B11" s="4" t="s">
        <v>45</v>
      </c>
      <c r="C11" s="4" t="s">
        <v>46</v>
      </c>
      <c r="D11" s="13" t="s">
        <v>25</v>
      </c>
      <c r="E11" s="11" t="s">
        <v>362</v>
      </c>
      <c r="F11" s="5" t="s">
        <v>362</v>
      </c>
      <c r="G11" s="5" t="s">
        <v>362</v>
      </c>
      <c r="H11" s="5" t="s">
        <v>362</v>
      </c>
    </row>
    <row r="12" ht="34" spans="1:8">
      <c r="A12" s="9" t="s">
        <v>48</v>
      </c>
      <c r="B12" s="4" t="s">
        <v>49</v>
      </c>
      <c r="C12" s="4" t="s">
        <v>50</v>
      </c>
      <c r="D12" s="10" t="s">
        <v>11</v>
      </c>
      <c r="E12" s="11" t="s">
        <v>362</v>
      </c>
      <c r="F12" s="5" t="s">
        <v>362</v>
      </c>
      <c r="G12" s="5" t="s">
        <v>362</v>
      </c>
      <c r="H12" s="5" t="s">
        <v>362</v>
      </c>
    </row>
    <row r="13" ht="34" spans="1:8">
      <c r="A13" s="9" t="s">
        <v>52</v>
      </c>
      <c r="B13" s="4" t="s">
        <v>53</v>
      </c>
      <c r="C13" s="4" t="s">
        <v>54</v>
      </c>
      <c r="D13" s="10" t="s">
        <v>11</v>
      </c>
      <c r="E13" s="11" t="s">
        <v>362</v>
      </c>
      <c r="F13" s="5" t="s">
        <v>362</v>
      </c>
      <c r="G13" s="5" t="s">
        <v>362</v>
      </c>
      <c r="H13" s="5" t="s">
        <v>362</v>
      </c>
    </row>
    <row r="14" ht="34" spans="1:8">
      <c r="A14" s="9" t="s">
        <v>56</v>
      </c>
      <c r="B14" s="4" t="s">
        <v>57</v>
      </c>
      <c r="C14" s="4" t="s">
        <v>58</v>
      </c>
      <c r="D14" s="13" t="s">
        <v>25</v>
      </c>
      <c r="E14" s="11" t="s">
        <v>362</v>
      </c>
      <c r="F14" s="5" t="s">
        <v>362</v>
      </c>
      <c r="G14" s="5" t="s">
        <v>362</v>
      </c>
      <c r="H14" s="5" t="s">
        <v>362</v>
      </c>
    </row>
    <row r="15" ht="34" spans="1:8">
      <c r="A15" s="9" t="s">
        <v>60</v>
      </c>
      <c r="B15" s="4" t="s">
        <v>61</v>
      </c>
      <c r="C15" s="4" t="s">
        <v>62</v>
      </c>
      <c r="D15" s="10" t="s">
        <v>11</v>
      </c>
      <c r="E15" s="11" t="s">
        <v>362</v>
      </c>
      <c r="F15" s="5" t="s">
        <v>362</v>
      </c>
      <c r="G15" s="5" t="s">
        <v>362</v>
      </c>
      <c r="H15" s="5" t="s">
        <v>362</v>
      </c>
    </row>
    <row r="16" ht="34" spans="1:8">
      <c r="A16" s="9" t="s">
        <v>64</v>
      </c>
      <c r="B16" s="4" t="s">
        <v>65</v>
      </c>
      <c r="C16" s="4" t="s">
        <v>66</v>
      </c>
      <c r="D16" s="10" t="s">
        <v>11</v>
      </c>
      <c r="E16" s="11" t="s">
        <v>362</v>
      </c>
      <c r="F16" s="5" t="s">
        <v>362</v>
      </c>
      <c r="G16" s="5" t="s">
        <v>362</v>
      </c>
      <c r="H16" s="5" t="s">
        <v>362</v>
      </c>
    </row>
    <row r="17" ht="34" spans="1:8">
      <c r="A17" s="9" t="s">
        <v>69</v>
      </c>
      <c r="B17" s="4" t="s">
        <v>70</v>
      </c>
      <c r="C17" s="4" t="s">
        <v>71</v>
      </c>
      <c r="D17" s="13" t="s">
        <v>25</v>
      </c>
      <c r="E17" s="11" t="s">
        <v>362</v>
      </c>
      <c r="F17" s="5" t="s">
        <v>362</v>
      </c>
      <c r="G17" s="5" t="s">
        <v>362</v>
      </c>
      <c r="H17" s="5" t="s">
        <v>362</v>
      </c>
    </row>
    <row r="18" ht="34" spans="1:8">
      <c r="A18" s="9" t="s">
        <v>73</v>
      </c>
      <c r="B18" s="4" t="s">
        <v>74</v>
      </c>
      <c r="C18" s="4" t="s">
        <v>75</v>
      </c>
      <c r="D18" s="10" t="s">
        <v>11</v>
      </c>
      <c r="E18" s="11" t="s">
        <v>362</v>
      </c>
      <c r="F18" s="5" t="s">
        <v>362</v>
      </c>
      <c r="G18" s="5" t="s">
        <v>362</v>
      </c>
      <c r="H18" s="5" t="s">
        <v>362</v>
      </c>
    </row>
    <row r="19" ht="34" spans="1:8">
      <c r="A19" s="9" t="s">
        <v>77</v>
      </c>
      <c r="B19" s="4" t="s">
        <v>78</v>
      </c>
      <c r="C19" s="4" t="s">
        <v>79</v>
      </c>
      <c r="D19" s="13" t="s">
        <v>25</v>
      </c>
      <c r="E19" s="11" t="s">
        <v>362</v>
      </c>
      <c r="F19" s="5" t="s">
        <v>362</v>
      </c>
      <c r="G19" s="5" t="s">
        <v>362</v>
      </c>
      <c r="H19" s="5" t="s">
        <v>362</v>
      </c>
    </row>
    <row r="20" ht="34" spans="1:8">
      <c r="A20" s="9" t="s">
        <v>81</v>
      </c>
      <c r="B20" s="4" t="s">
        <v>82</v>
      </c>
      <c r="C20" s="4" t="s">
        <v>83</v>
      </c>
      <c r="D20" s="10" t="s">
        <v>11</v>
      </c>
      <c r="E20" s="11" t="s">
        <v>362</v>
      </c>
      <c r="F20" s="5" t="s">
        <v>362</v>
      </c>
      <c r="G20" s="5" t="s">
        <v>362</v>
      </c>
      <c r="H20" s="5" t="s">
        <v>362</v>
      </c>
    </row>
    <row r="21" ht="34" spans="1:8">
      <c r="A21" s="9" t="s">
        <v>85</v>
      </c>
      <c r="B21" s="4" t="s">
        <v>86</v>
      </c>
      <c r="C21" s="4" t="s">
        <v>87</v>
      </c>
      <c r="D21" s="10" t="s">
        <v>11</v>
      </c>
      <c r="E21" s="11" t="s">
        <v>362</v>
      </c>
      <c r="F21" s="5" t="s">
        <v>362</v>
      </c>
      <c r="G21" s="5" t="s">
        <v>362</v>
      </c>
      <c r="H21" s="5" t="s">
        <v>362</v>
      </c>
    </row>
    <row r="22" ht="34" spans="1:8">
      <c r="A22" s="9" t="s">
        <v>89</v>
      </c>
      <c r="B22" s="4" t="s">
        <v>90</v>
      </c>
      <c r="C22" s="4" t="s">
        <v>91</v>
      </c>
      <c r="D22" s="13" t="s">
        <v>25</v>
      </c>
      <c r="E22" s="11" t="s">
        <v>362</v>
      </c>
      <c r="F22" s="5" t="s">
        <v>362</v>
      </c>
      <c r="G22" s="5" t="s">
        <v>362</v>
      </c>
      <c r="H22" s="5" t="s">
        <v>362</v>
      </c>
    </row>
    <row r="23" ht="34" spans="1:8">
      <c r="A23" s="9" t="s">
        <v>93</v>
      </c>
      <c r="B23" s="4" t="s">
        <v>94</v>
      </c>
      <c r="C23" s="4" t="s">
        <v>95</v>
      </c>
      <c r="D23" s="12" t="s">
        <v>20</v>
      </c>
      <c r="E23" s="11" t="s">
        <v>362</v>
      </c>
      <c r="F23" s="5" t="s">
        <v>362</v>
      </c>
      <c r="G23" s="5" t="s">
        <v>362</v>
      </c>
      <c r="H23" s="5" t="s">
        <v>362</v>
      </c>
    </row>
    <row r="24" ht="34" spans="1:8">
      <c r="A24" s="9" t="s">
        <v>97</v>
      </c>
      <c r="B24" s="4" t="s">
        <v>98</v>
      </c>
      <c r="C24" s="4" t="s">
        <v>99</v>
      </c>
      <c r="D24" s="10" t="s">
        <v>11</v>
      </c>
      <c r="E24" s="11" t="s">
        <v>362</v>
      </c>
      <c r="F24" s="5" t="s">
        <v>362</v>
      </c>
      <c r="G24" s="5" t="s">
        <v>362</v>
      </c>
      <c r="H24" s="5" t="s">
        <v>362</v>
      </c>
    </row>
    <row r="25" ht="34" spans="1:8">
      <c r="A25" s="9" t="s">
        <v>102</v>
      </c>
      <c r="B25" s="4" t="s">
        <v>103</v>
      </c>
      <c r="C25" s="4" t="s">
        <v>104</v>
      </c>
      <c r="D25" s="12" t="s">
        <v>20</v>
      </c>
      <c r="E25" s="11" t="s">
        <v>362</v>
      </c>
      <c r="F25" s="5" t="s">
        <v>362</v>
      </c>
      <c r="G25" s="5" t="s">
        <v>362</v>
      </c>
      <c r="H25" s="5" t="s">
        <v>362</v>
      </c>
    </row>
    <row r="26" ht="34" spans="1:8">
      <c r="A26" s="9" t="s">
        <v>106</v>
      </c>
      <c r="B26" s="4" t="s">
        <v>107</v>
      </c>
      <c r="C26" s="4" t="s">
        <v>108</v>
      </c>
      <c r="D26" s="10" t="s">
        <v>11</v>
      </c>
      <c r="E26" s="11" t="s">
        <v>362</v>
      </c>
      <c r="F26" s="5" t="s">
        <v>362</v>
      </c>
      <c r="G26" s="5" t="s">
        <v>362</v>
      </c>
      <c r="H26" s="5" t="s">
        <v>362</v>
      </c>
    </row>
    <row r="27" ht="34" spans="1:8">
      <c r="A27" s="9" t="s">
        <v>110</v>
      </c>
      <c r="B27" s="4" t="s">
        <v>111</v>
      </c>
      <c r="C27" s="4" t="s">
        <v>112</v>
      </c>
      <c r="D27" s="13" t="s">
        <v>25</v>
      </c>
      <c r="E27" s="11" t="s">
        <v>362</v>
      </c>
      <c r="F27" s="5" t="s">
        <v>362</v>
      </c>
      <c r="G27" s="5" t="s">
        <v>362</v>
      </c>
      <c r="H27" s="5" t="s">
        <v>362</v>
      </c>
    </row>
    <row r="28" ht="34" spans="1:8">
      <c r="A28" s="9" t="s">
        <v>114</v>
      </c>
      <c r="B28" s="4" t="s">
        <v>115</v>
      </c>
      <c r="C28" s="4" t="s">
        <v>116</v>
      </c>
      <c r="D28" s="13" t="s">
        <v>25</v>
      </c>
      <c r="E28" s="11" t="s">
        <v>362</v>
      </c>
      <c r="F28" s="5" t="s">
        <v>362</v>
      </c>
      <c r="G28" s="5" t="s">
        <v>362</v>
      </c>
      <c r="H28" s="5" t="s">
        <v>362</v>
      </c>
    </row>
    <row r="29" ht="51" spans="1:8">
      <c r="A29" s="9" t="s">
        <v>118</v>
      </c>
      <c r="B29" s="4" t="s">
        <v>119</v>
      </c>
      <c r="C29" s="4" t="s">
        <v>120</v>
      </c>
      <c r="D29" s="13" t="s">
        <v>25</v>
      </c>
      <c r="E29" s="11" t="s">
        <v>362</v>
      </c>
      <c r="F29" s="5" t="s">
        <v>362</v>
      </c>
      <c r="G29" s="5" t="s">
        <v>362</v>
      </c>
      <c r="H29" s="5" t="s">
        <v>362</v>
      </c>
    </row>
    <row r="30" ht="34" spans="1:8">
      <c r="A30" s="9" t="s">
        <v>122</v>
      </c>
      <c r="B30" s="4" t="s">
        <v>123</v>
      </c>
      <c r="C30" s="4" t="s">
        <v>124</v>
      </c>
      <c r="D30" s="10" t="s">
        <v>11</v>
      </c>
      <c r="E30" s="11" t="s">
        <v>362</v>
      </c>
      <c r="F30" s="5" t="s">
        <v>362</v>
      </c>
      <c r="G30" s="5" t="s">
        <v>362</v>
      </c>
      <c r="H30" s="5" t="s">
        <v>362</v>
      </c>
    </row>
    <row r="31" ht="34" spans="1:8">
      <c r="A31" s="9" t="s">
        <v>126</v>
      </c>
      <c r="B31" s="4" t="s">
        <v>127</v>
      </c>
      <c r="C31" s="4" t="s">
        <v>128</v>
      </c>
      <c r="D31" s="12" t="s">
        <v>20</v>
      </c>
      <c r="E31" s="11" t="s">
        <v>362</v>
      </c>
      <c r="F31" s="5" t="s">
        <v>362</v>
      </c>
      <c r="G31" s="5" t="s">
        <v>362</v>
      </c>
      <c r="H31" s="5" t="s">
        <v>362</v>
      </c>
    </row>
    <row r="32" ht="51" spans="1:8">
      <c r="A32" s="9" t="s">
        <v>130</v>
      </c>
      <c r="B32" s="4" t="s">
        <v>131</v>
      </c>
      <c r="C32" s="4" t="s">
        <v>132</v>
      </c>
      <c r="D32" s="13" t="s">
        <v>25</v>
      </c>
      <c r="E32" s="11" t="s">
        <v>362</v>
      </c>
      <c r="F32" s="5" t="s">
        <v>362</v>
      </c>
      <c r="G32" s="5" t="s">
        <v>362</v>
      </c>
      <c r="H32" s="5" t="s">
        <v>362</v>
      </c>
    </row>
    <row r="33" ht="34" spans="1:8">
      <c r="A33" s="9" t="s">
        <v>134</v>
      </c>
      <c r="B33" s="4" t="s">
        <v>135</v>
      </c>
      <c r="C33" s="4" t="s">
        <v>136</v>
      </c>
      <c r="D33" s="13" t="s">
        <v>25</v>
      </c>
      <c r="E33" s="11" t="s">
        <v>362</v>
      </c>
      <c r="F33" s="5" t="s">
        <v>362</v>
      </c>
      <c r="G33" s="5" t="s">
        <v>362</v>
      </c>
      <c r="H33" s="5" t="s">
        <v>362</v>
      </c>
    </row>
    <row r="34" ht="34" spans="1:8">
      <c r="A34" s="9" t="s">
        <v>138</v>
      </c>
      <c r="B34" s="4" t="s">
        <v>139</v>
      </c>
      <c r="C34" s="4" t="s">
        <v>140</v>
      </c>
      <c r="D34" s="13" t="s">
        <v>25</v>
      </c>
      <c r="E34" s="11" t="s">
        <v>362</v>
      </c>
      <c r="F34" s="5" t="s">
        <v>362</v>
      </c>
      <c r="G34" s="5" t="s">
        <v>362</v>
      </c>
      <c r="H34" s="5" t="s">
        <v>362</v>
      </c>
    </row>
    <row r="35" ht="34" spans="1:8">
      <c r="A35" s="9" t="s">
        <v>142</v>
      </c>
      <c r="B35" s="4" t="s">
        <v>143</v>
      </c>
      <c r="C35" s="4" t="s">
        <v>144</v>
      </c>
      <c r="D35" s="10" t="s">
        <v>11</v>
      </c>
      <c r="E35" s="11" t="s">
        <v>362</v>
      </c>
      <c r="F35" s="5" t="s">
        <v>362</v>
      </c>
      <c r="G35" s="5" t="s">
        <v>362</v>
      </c>
      <c r="H35" s="5" t="s">
        <v>362</v>
      </c>
    </row>
    <row r="36" ht="17" spans="1:8">
      <c r="A36" s="9" t="s">
        <v>146</v>
      </c>
      <c r="B36" s="4" t="s">
        <v>147</v>
      </c>
      <c r="C36" s="4" t="s">
        <v>148</v>
      </c>
      <c r="D36" s="10" t="s">
        <v>11</v>
      </c>
      <c r="E36" s="11" t="s">
        <v>362</v>
      </c>
      <c r="F36" s="5" t="s">
        <v>362</v>
      </c>
      <c r="G36" s="5" t="s">
        <v>362</v>
      </c>
      <c r="H36" s="5" t="s">
        <v>362</v>
      </c>
    </row>
    <row r="37" ht="34" spans="1:8">
      <c r="A37" s="9" t="s">
        <v>150</v>
      </c>
      <c r="B37" s="4" t="s">
        <v>151</v>
      </c>
      <c r="C37" s="4" t="s">
        <v>152</v>
      </c>
      <c r="D37" s="10" t="s">
        <v>11</v>
      </c>
      <c r="E37" s="11" t="s">
        <v>362</v>
      </c>
      <c r="F37" s="5" t="s">
        <v>362</v>
      </c>
      <c r="G37" s="5" t="s">
        <v>362</v>
      </c>
      <c r="H37" s="5" t="s">
        <v>362</v>
      </c>
    </row>
    <row r="38" ht="34" spans="1:8">
      <c r="A38" s="9" t="s">
        <v>155</v>
      </c>
      <c r="B38" s="4" t="s">
        <v>156</v>
      </c>
      <c r="C38" s="4" t="s">
        <v>157</v>
      </c>
      <c r="D38" s="12" t="s">
        <v>20</v>
      </c>
      <c r="E38" s="11" t="s">
        <v>362</v>
      </c>
      <c r="F38" s="5" t="s">
        <v>362</v>
      </c>
      <c r="G38" s="5" t="s">
        <v>362</v>
      </c>
      <c r="H38" s="5" t="s">
        <v>362</v>
      </c>
    </row>
    <row r="39" ht="34" spans="1:8">
      <c r="A39" s="9" t="s">
        <v>159</v>
      </c>
      <c r="B39" s="4" t="s">
        <v>160</v>
      </c>
      <c r="C39" s="4" t="s">
        <v>161</v>
      </c>
      <c r="D39" s="10" t="s">
        <v>11</v>
      </c>
      <c r="E39" s="11" t="s">
        <v>362</v>
      </c>
      <c r="F39" s="5" t="s">
        <v>362</v>
      </c>
      <c r="G39" s="5" t="s">
        <v>362</v>
      </c>
      <c r="H39" s="5" t="s">
        <v>362</v>
      </c>
    </row>
    <row r="40" ht="34" spans="1:8">
      <c r="A40" s="9" t="s">
        <v>163</v>
      </c>
      <c r="B40" s="4" t="s">
        <v>164</v>
      </c>
      <c r="C40" s="4" t="s">
        <v>165</v>
      </c>
      <c r="D40" s="10" t="s">
        <v>11</v>
      </c>
      <c r="E40" s="11" t="s">
        <v>362</v>
      </c>
      <c r="F40" s="5" t="s">
        <v>362</v>
      </c>
      <c r="G40" s="5" t="s">
        <v>362</v>
      </c>
      <c r="H40" s="5" t="s">
        <v>362</v>
      </c>
    </row>
    <row r="41" ht="17" spans="1:8">
      <c r="A41" s="9" t="s">
        <v>167</v>
      </c>
      <c r="B41" s="4" t="s">
        <v>168</v>
      </c>
      <c r="C41" s="4" t="s">
        <v>169</v>
      </c>
      <c r="D41" s="10" t="s">
        <v>11</v>
      </c>
      <c r="E41" s="11" t="s">
        <v>362</v>
      </c>
      <c r="F41" s="5" t="s">
        <v>362</v>
      </c>
      <c r="G41" s="5" t="s">
        <v>362</v>
      </c>
      <c r="H41" s="5" t="s">
        <v>362</v>
      </c>
    </row>
    <row r="42" ht="34" spans="1:8">
      <c r="A42" s="9" t="s">
        <v>171</v>
      </c>
      <c r="B42" s="4" t="s">
        <v>172</v>
      </c>
      <c r="C42" s="4" t="s">
        <v>173</v>
      </c>
      <c r="D42" s="13" t="s">
        <v>25</v>
      </c>
      <c r="E42" s="11" t="s">
        <v>362</v>
      </c>
      <c r="F42" s="5" t="s">
        <v>362</v>
      </c>
      <c r="G42" s="5" t="s">
        <v>362</v>
      </c>
      <c r="H42" s="5" t="s">
        <v>362</v>
      </c>
    </row>
    <row r="43" ht="51" spans="1:8">
      <c r="A43" s="9" t="s">
        <v>175</v>
      </c>
      <c r="B43" s="4" t="s">
        <v>176</v>
      </c>
      <c r="C43" s="4" t="s">
        <v>177</v>
      </c>
      <c r="D43" s="12" t="s">
        <v>20</v>
      </c>
      <c r="E43" s="11" t="s">
        <v>362</v>
      </c>
      <c r="F43" s="5" t="s">
        <v>362</v>
      </c>
      <c r="G43" s="5" t="s">
        <v>362</v>
      </c>
      <c r="H43" s="5" t="s">
        <v>362</v>
      </c>
    </row>
    <row r="44" ht="34" spans="1:8">
      <c r="A44" s="9" t="s">
        <v>179</v>
      </c>
      <c r="B44" s="4" t="s">
        <v>180</v>
      </c>
      <c r="C44" s="4" t="s">
        <v>181</v>
      </c>
      <c r="D44" s="10" t="s">
        <v>11</v>
      </c>
      <c r="E44" s="11" t="s">
        <v>362</v>
      </c>
      <c r="F44" s="5" t="s">
        <v>362</v>
      </c>
      <c r="G44" s="5" t="s">
        <v>362</v>
      </c>
      <c r="H44" s="5" t="s">
        <v>362</v>
      </c>
    </row>
    <row r="45" ht="34" spans="1:8">
      <c r="A45" s="9" t="s">
        <v>183</v>
      </c>
      <c r="B45" s="4" t="s">
        <v>184</v>
      </c>
      <c r="C45" s="4" t="s">
        <v>185</v>
      </c>
      <c r="D45" s="10" t="s">
        <v>11</v>
      </c>
      <c r="E45" s="11" t="s">
        <v>362</v>
      </c>
      <c r="F45" s="5" t="s">
        <v>362</v>
      </c>
      <c r="G45" s="5" t="s">
        <v>362</v>
      </c>
      <c r="H45" s="5" t="s">
        <v>362</v>
      </c>
    </row>
    <row r="46" ht="34" spans="1:8">
      <c r="A46" s="9" t="s">
        <v>187</v>
      </c>
      <c r="B46" s="4" t="s">
        <v>188</v>
      </c>
      <c r="C46" s="4" t="s">
        <v>189</v>
      </c>
      <c r="D46" s="13" t="s">
        <v>25</v>
      </c>
      <c r="E46" s="11" t="s">
        <v>362</v>
      </c>
      <c r="F46" s="5" t="s">
        <v>362</v>
      </c>
      <c r="G46" s="5" t="s">
        <v>362</v>
      </c>
      <c r="H46" s="5" t="s">
        <v>362</v>
      </c>
    </row>
    <row r="47" ht="34" spans="1:8">
      <c r="A47" s="9" t="s">
        <v>191</v>
      </c>
      <c r="B47" s="4" t="s">
        <v>192</v>
      </c>
      <c r="C47" s="4" t="s">
        <v>193</v>
      </c>
      <c r="D47" s="13" t="s">
        <v>25</v>
      </c>
      <c r="E47" s="11" t="s">
        <v>362</v>
      </c>
      <c r="F47" s="5" t="s">
        <v>362</v>
      </c>
      <c r="G47" s="5" t="s">
        <v>362</v>
      </c>
      <c r="H47" s="5" t="s">
        <v>362</v>
      </c>
    </row>
    <row r="48" ht="34" spans="1:8">
      <c r="A48" s="9" t="s">
        <v>195</v>
      </c>
      <c r="B48" s="4" t="s">
        <v>196</v>
      </c>
      <c r="C48" s="4" t="s">
        <v>197</v>
      </c>
      <c r="D48" s="12" t="s">
        <v>20</v>
      </c>
      <c r="E48" s="11" t="s">
        <v>362</v>
      </c>
      <c r="F48" s="5" t="s">
        <v>362</v>
      </c>
      <c r="G48" s="5" t="s">
        <v>362</v>
      </c>
      <c r="H48" s="5" t="s">
        <v>362</v>
      </c>
    </row>
    <row r="49" ht="34" spans="1:8">
      <c r="A49" s="9" t="s">
        <v>199</v>
      </c>
      <c r="B49" s="4" t="s">
        <v>200</v>
      </c>
      <c r="C49" s="4" t="s">
        <v>201</v>
      </c>
      <c r="D49" s="13" t="s">
        <v>25</v>
      </c>
      <c r="E49" s="11" t="s">
        <v>362</v>
      </c>
      <c r="F49" s="5" t="s">
        <v>362</v>
      </c>
      <c r="G49" s="5" t="s">
        <v>362</v>
      </c>
      <c r="H49" s="5" t="s">
        <v>362</v>
      </c>
    </row>
    <row r="50" ht="34" spans="1:8">
      <c r="A50" s="9" t="s">
        <v>203</v>
      </c>
      <c r="B50" s="4" t="s">
        <v>204</v>
      </c>
      <c r="C50" s="4" t="s">
        <v>205</v>
      </c>
      <c r="D50" s="13" t="s">
        <v>25</v>
      </c>
      <c r="E50" s="11" t="s">
        <v>362</v>
      </c>
      <c r="F50" s="5" t="s">
        <v>362</v>
      </c>
      <c r="G50" s="5" t="s">
        <v>362</v>
      </c>
      <c r="H50" s="5" t="s">
        <v>362</v>
      </c>
    </row>
    <row r="51" ht="34" spans="1:8">
      <c r="A51" s="9" t="s">
        <v>207</v>
      </c>
      <c r="B51" s="4" t="s">
        <v>208</v>
      </c>
      <c r="C51" s="4" t="s">
        <v>209</v>
      </c>
      <c r="D51" s="10" t="s">
        <v>11</v>
      </c>
      <c r="E51" s="11" t="s">
        <v>362</v>
      </c>
      <c r="F51" s="5" t="s">
        <v>362</v>
      </c>
      <c r="G51" s="5" t="s">
        <v>362</v>
      </c>
      <c r="H51" s="5" t="s">
        <v>362</v>
      </c>
    </row>
    <row r="52" ht="34" spans="1:8">
      <c r="A52" s="9" t="s">
        <v>211</v>
      </c>
      <c r="B52" s="4" t="s">
        <v>212</v>
      </c>
      <c r="C52" s="4" t="s">
        <v>213</v>
      </c>
      <c r="D52" s="10" t="s">
        <v>11</v>
      </c>
      <c r="E52" s="11" t="s">
        <v>362</v>
      </c>
      <c r="F52" s="5" t="s">
        <v>362</v>
      </c>
      <c r="G52" s="5" t="s">
        <v>362</v>
      </c>
      <c r="H52" s="5" t="s">
        <v>362</v>
      </c>
    </row>
    <row r="53" ht="34" spans="1:8">
      <c r="A53" s="9" t="s">
        <v>216</v>
      </c>
      <c r="B53" s="4" t="s">
        <v>217</v>
      </c>
      <c r="C53" s="4" t="s">
        <v>218</v>
      </c>
      <c r="D53" s="10" t="s">
        <v>11</v>
      </c>
      <c r="E53" s="11" t="s">
        <v>362</v>
      </c>
      <c r="F53" s="5" t="s">
        <v>362</v>
      </c>
      <c r="G53" s="5" t="s">
        <v>362</v>
      </c>
      <c r="H53" s="5" t="s">
        <v>362</v>
      </c>
    </row>
    <row r="54" ht="34" spans="1:8">
      <c r="A54" s="9" t="s">
        <v>220</v>
      </c>
      <c r="B54" s="4" t="s">
        <v>221</v>
      </c>
      <c r="C54" s="4" t="s">
        <v>222</v>
      </c>
      <c r="D54" s="10" t="s">
        <v>11</v>
      </c>
      <c r="E54" s="11" t="s">
        <v>362</v>
      </c>
      <c r="F54" s="5" t="s">
        <v>362</v>
      </c>
      <c r="G54" s="5" t="s">
        <v>362</v>
      </c>
      <c r="H54" s="5" t="s">
        <v>362</v>
      </c>
    </row>
    <row r="55" ht="34" spans="1:8">
      <c r="A55" s="9" t="s">
        <v>224</v>
      </c>
      <c r="B55" s="4" t="s">
        <v>225</v>
      </c>
      <c r="C55" s="4" t="s">
        <v>226</v>
      </c>
      <c r="D55" s="10" t="s">
        <v>11</v>
      </c>
      <c r="E55" s="11" t="s">
        <v>362</v>
      </c>
      <c r="F55" s="5" t="s">
        <v>362</v>
      </c>
      <c r="G55" s="5" t="s">
        <v>362</v>
      </c>
      <c r="H55" s="5" t="s">
        <v>362</v>
      </c>
    </row>
    <row r="56" ht="34" spans="1:8">
      <c r="A56" s="9" t="s">
        <v>228</v>
      </c>
      <c r="B56" s="4" t="s">
        <v>229</v>
      </c>
      <c r="C56" s="4" t="s">
        <v>230</v>
      </c>
      <c r="D56" s="10" t="s">
        <v>11</v>
      </c>
      <c r="E56" s="11" t="s">
        <v>362</v>
      </c>
      <c r="F56" s="5" t="s">
        <v>362</v>
      </c>
      <c r="G56" s="5" t="s">
        <v>362</v>
      </c>
      <c r="H56" s="5" t="s">
        <v>362</v>
      </c>
    </row>
    <row r="57" ht="34" spans="1:8">
      <c r="A57" s="9" t="s">
        <v>232</v>
      </c>
      <c r="B57" s="4" t="s">
        <v>233</v>
      </c>
      <c r="C57" s="4" t="s">
        <v>234</v>
      </c>
      <c r="D57" s="13" t="s">
        <v>25</v>
      </c>
      <c r="E57" s="11" t="s">
        <v>362</v>
      </c>
      <c r="F57" s="5" t="s">
        <v>362</v>
      </c>
      <c r="G57" s="5" t="s">
        <v>362</v>
      </c>
      <c r="H57" s="5" t="s">
        <v>362</v>
      </c>
    </row>
    <row r="58" ht="34" spans="1:8">
      <c r="A58" s="9" t="s">
        <v>236</v>
      </c>
      <c r="B58" s="4" t="s">
        <v>237</v>
      </c>
      <c r="C58" s="4" t="s">
        <v>238</v>
      </c>
      <c r="D58" s="10" t="s">
        <v>11</v>
      </c>
      <c r="E58" s="11" t="s">
        <v>362</v>
      </c>
      <c r="F58" s="5" t="s">
        <v>362</v>
      </c>
      <c r="G58" s="5" t="s">
        <v>362</v>
      </c>
      <c r="H58" s="5" t="s">
        <v>362</v>
      </c>
    </row>
    <row r="59" ht="34" spans="1:8">
      <c r="A59" s="9" t="s">
        <v>240</v>
      </c>
      <c r="B59" s="4" t="s">
        <v>241</v>
      </c>
      <c r="C59" s="4" t="s">
        <v>242</v>
      </c>
      <c r="D59" s="13" t="s">
        <v>25</v>
      </c>
      <c r="E59" s="11" t="s">
        <v>362</v>
      </c>
      <c r="F59" s="5" t="s">
        <v>362</v>
      </c>
      <c r="G59" s="5" t="s">
        <v>362</v>
      </c>
      <c r="H59" s="5" t="s">
        <v>362</v>
      </c>
    </row>
    <row r="60" ht="68" spans="1:8">
      <c r="A60" s="9" t="s">
        <v>244</v>
      </c>
      <c r="B60" s="4" t="s">
        <v>245</v>
      </c>
      <c r="C60" s="4" t="s">
        <v>246</v>
      </c>
      <c r="D60" s="12" t="s">
        <v>20</v>
      </c>
      <c r="E60" s="11" t="s">
        <v>362</v>
      </c>
      <c r="F60" s="5" t="s">
        <v>362</v>
      </c>
      <c r="G60" s="5" t="s">
        <v>362</v>
      </c>
      <c r="H60" s="5" t="s">
        <v>362</v>
      </c>
    </row>
    <row r="61" ht="34" spans="1:8">
      <c r="A61" s="9" t="s">
        <v>248</v>
      </c>
      <c r="B61" s="4" t="s">
        <v>249</v>
      </c>
      <c r="C61" s="4" t="s">
        <v>250</v>
      </c>
      <c r="D61" s="10" t="s">
        <v>11</v>
      </c>
      <c r="E61" s="11" t="s">
        <v>362</v>
      </c>
      <c r="F61" s="5" t="s">
        <v>362</v>
      </c>
      <c r="G61" s="5" t="s">
        <v>362</v>
      </c>
      <c r="H61" s="5" t="s">
        <v>362</v>
      </c>
    </row>
    <row r="62" ht="34" spans="1:8">
      <c r="A62" s="9" t="s">
        <v>252</v>
      </c>
      <c r="B62" s="4" t="s">
        <v>253</v>
      </c>
      <c r="C62" s="4" t="s">
        <v>254</v>
      </c>
      <c r="D62" s="10" t="s">
        <v>11</v>
      </c>
      <c r="E62" s="11" t="s">
        <v>362</v>
      </c>
      <c r="F62" s="5" t="s">
        <v>362</v>
      </c>
      <c r="G62" s="5" t="s">
        <v>362</v>
      </c>
      <c r="H62" s="5" t="s">
        <v>362</v>
      </c>
    </row>
    <row r="63" ht="34" spans="1:8">
      <c r="A63" s="9" t="s">
        <v>256</v>
      </c>
      <c r="B63" s="4" t="s">
        <v>257</v>
      </c>
      <c r="C63" s="4" t="s">
        <v>258</v>
      </c>
      <c r="D63" s="13" t="s">
        <v>25</v>
      </c>
      <c r="E63" s="11" t="s">
        <v>362</v>
      </c>
      <c r="F63" s="5" t="s">
        <v>362</v>
      </c>
      <c r="G63" s="5" t="s">
        <v>362</v>
      </c>
      <c r="H63" s="5" t="s">
        <v>362</v>
      </c>
    </row>
    <row r="64" ht="34" spans="1:8">
      <c r="A64" s="9" t="s">
        <v>260</v>
      </c>
      <c r="B64" s="4" t="s">
        <v>261</v>
      </c>
      <c r="C64" s="4" t="s">
        <v>262</v>
      </c>
      <c r="D64" s="10" t="s">
        <v>11</v>
      </c>
      <c r="E64" s="11" t="s">
        <v>362</v>
      </c>
      <c r="F64" s="5" t="s">
        <v>362</v>
      </c>
      <c r="G64" s="5" t="s">
        <v>362</v>
      </c>
      <c r="H64" s="5" t="s">
        <v>362</v>
      </c>
    </row>
    <row r="65" ht="34" spans="1:8">
      <c r="A65" s="9" t="s">
        <v>265</v>
      </c>
      <c r="B65" s="4" t="s">
        <v>266</v>
      </c>
      <c r="C65" s="4" t="s">
        <v>267</v>
      </c>
      <c r="D65" s="13" t="s">
        <v>25</v>
      </c>
      <c r="E65" s="11" t="s">
        <v>362</v>
      </c>
      <c r="F65" s="5" t="s">
        <v>362</v>
      </c>
      <c r="G65" s="5" t="s">
        <v>362</v>
      </c>
      <c r="H65" s="5" t="s">
        <v>362</v>
      </c>
    </row>
    <row r="66" ht="34" spans="1:8">
      <c r="A66" s="9" t="s">
        <v>269</v>
      </c>
      <c r="B66" s="4" t="s">
        <v>270</v>
      </c>
      <c r="C66" s="4" t="s">
        <v>271</v>
      </c>
      <c r="D66" s="13" t="s">
        <v>25</v>
      </c>
      <c r="E66" s="11" t="s">
        <v>362</v>
      </c>
      <c r="F66" s="5" t="s">
        <v>362</v>
      </c>
      <c r="G66" s="5" t="s">
        <v>362</v>
      </c>
      <c r="H66" s="5" t="s">
        <v>362</v>
      </c>
    </row>
    <row r="67" ht="34" spans="1:8">
      <c r="A67" s="9" t="s">
        <v>273</v>
      </c>
      <c r="B67" s="4" t="s">
        <v>274</v>
      </c>
      <c r="C67" s="4" t="s">
        <v>275</v>
      </c>
      <c r="D67" s="10" t="s">
        <v>11</v>
      </c>
      <c r="E67" s="11" t="s">
        <v>362</v>
      </c>
      <c r="F67" s="5" t="s">
        <v>362</v>
      </c>
      <c r="G67" s="5" t="s">
        <v>362</v>
      </c>
      <c r="H67" s="5" t="s">
        <v>362</v>
      </c>
    </row>
    <row r="68" ht="34" spans="1:8">
      <c r="A68" s="9" t="s">
        <v>277</v>
      </c>
      <c r="B68" s="4" t="s">
        <v>278</v>
      </c>
      <c r="C68" s="4" t="s">
        <v>279</v>
      </c>
      <c r="D68" s="10" t="s">
        <v>11</v>
      </c>
      <c r="E68" s="11" t="s">
        <v>362</v>
      </c>
      <c r="F68" s="5" t="s">
        <v>362</v>
      </c>
      <c r="G68" s="5" t="s">
        <v>362</v>
      </c>
      <c r="H68" s="5" t="s">
        <v>362</v>
      </c>
    </row>
    <row r="69" ht="34" spans="1:8">
      <c r="A69" s="9" t="s">
        <v>281</v>
      </c>
      <c r="B69" s="4" t="s">
        <v>282</v>
      </c>
      <c r="C69" s="4" t="s">
        <v>283</v>
      </c>
      <c r="D69" s="13" t="s">
        <v>25</v>
      </c>
      <c r="E69" s="11" t="s">
        <v>362</v>
      </c>
      <c r="F69" s="5" t="s">
        <v>362</v>
      </c>
      <c r="G69" s="5" t="s">
        <v>362</v>
      </c>
      <c r="H69" s="5" t="s">
        <v>362</v>
      </c>
    </row>
    <row r="70" ht="34" spans="1:8">
      <c r="A70" s="9" t="s">
        <v>285</v>
      </c>
      <c r="B70" s="4" t="s">
        <v>286</v>
      </c>
      <c r="C70" s="4" t="s">
        <v>287</v>
      </c>
      <c r="D70" s="10" t="s">
        <v>11</v>
      </c>
      <c r="E70" s="11" t="s">
        <v>362</v>
      </c>
      <c r="F70" s="5" t="s">
        <v>362</v>
      </c>
      <c r="G70" s="5" t="s">
        <v>362</v>
      </c>
      <c r="H70" s="5" t="s">
        <v>362</v>
      </c>
    </row>
    <row r="71" ht="34" spans="1:8">
      <c r="A71" s="9" t="s">
        <v>289</v>
      </c>
      <c r="B71" s="4" t="s">
        <v>290</v>
      </c>
      <c r="C71" s="4" t="s">
        <v>291</v>
      </c>
      <c r="D71" s="10" t="s">
        <v>11</v>
      </c>
      <c r="E71" s="11" t="s">
        <v>362</v>
      </c>
      <c r="F71" s="5" t="s">
        <v>362</v>
      </c>
      <c r="G71" s="5" t="s">
        <v>362</v>
      </c>
      <c r="H71" s="5" t="s">
        <v>362</v>
      </c>
    </row>
    <row r="72" ht="34" spans="1:8">
      <c r="A72" s="9" t="s">
        <v>293</v>
      </c>
      <c r="B72" s="4" t="s">
        <v>294</v>
      </c>
      <c r="C72" s="4" t="s">
        <v>295</v>
      </c>
      <c r="D72" s="10" t="s">
        <v>11</v>
      </c>
      <c r="E72" s="11" t="s">
        <v>362</v>
      </c>
      <c r="F72" s="5" t="s">
        <v>362</v>
      </c>
      <c r="G72" s="5" t="s">
        <v>362</v>
      </c>
      <c r="H72" s="5" t="s">
        <v>362</v>
      </c>
    </row>
    <row r="73" ht="34" spans="1:8">
      <c r="A73" s="9" t="s">
        <v>297</v>
      </c>
      <c r="B73" s="4" t="s">
        <v>298</v>
      </c>
      <c r="C73" s="4" t="s">
        <v>299</v>
      </c>
      <c r="D73" s="10" t="s">
        <v>11</v>
      </c>
      <c r="E73" s="11" t="s">
        <v>362</v>
      </c>
      <c r="F73" s="5" t="s">
        <v>362</v>
      </c>
      <c r="G73" s="5" t="s">
        <v>362</v>
      </c>
      <c r="H73" s="5" t="s">
        <v>362</v>
      </c>
    </row>
    <row r="74" ht="34" spans="1:8">
      <c r="A74" s="9" t="s">
        <v>301</v>
      </c>
      <c r="B74" s="4" t="s">
        <v>302</v>
      </c>
      <c r="C74" s="4" t="s">
        <v>303</v>
      </c>
      <c r="D74" s="10" t="s">
        <v>11</v>
      </c>
      <c r="E74" s="11" t="s">
        <v>362</v>
      </c>
      <c r="F74" s="5" t="s">
        <v>362</v>
      </c>
      <c r="G74" s="5" t="s">
        <v>362</v>
      </c>
      <c r="H74" s="5" t="s">
        <v>362</v>
      </c>
    </row>
    <row r="75" ht="34" spans="1:8">
      <c r="A75" s="9" t="s">
        <v>306</v>
      </c>
      <c r="B75" s="4" t="s">
        <v>307</v>
      </c>
      <c r="C75" s="4" t="s">
        <v>308</v>
      </c>
      <c r="D75" s="10" t="s">
        <v>11</v>
      </c>
      <c r="E75" s="11" t="s">
        <v>362</v>
      </c>
      <c r="F75" s="5" t="s">
        <v>362</v>
      </c>
      <c r="G75" s="5" t="s">
        <v>362</v>
      </c>
      <c r="H75" s="5" t="s">
        <v>362</v>
      </c>
    </row>
    <row r="76" ht="51" spans="1:8">
      <c r="A76" s="9" t="s">
        <v>310</v>
      </c>
      <c r="B76" s="4" t="s">
        <v>311</v>
      </c>
      <c r="C76" s="4" t="s">
        <v>312</v>
      </c>
      <c r="D76" s="10" t="s">
        <v>11</v>
      </c>
      <c r="E76" s="11" t="s">
        <v>362</v>
      </c>
      <c r="F76" s="5" t="s">
        <v>362</v>
      </c>
      <c r="G76" s="5" t="s">
        <v>362</v>
      </c>
      <c r="H76" s="5" t="s">
        <v>362</v>
      </c>
    </row>
    <row r="77" ht="34" spans="1:8">
      <c r="A77" s="9" t="s">
        <v>314</v>
      </c>
      <c r="B77" s="4" t="s">
        <v>315</v>
      </c>
      <c r="C77" s="4" t="s">
        <v>316</v>
      </c>
      <c r="D77" s="13" t="s">
        <v>25</v>
      </c>
      <c r="E77" s="11" t="s">
        <v>362</v>
      </c>
      <c r="F77" s="5" t="s">
        <v>362</v>
      </c>
      <c r="G77" s="5" t="s">
        <v>362</v>
      </c>
      <c r="H77" s="5" t="s">
        <v>362</v>
      </c>
    </row>
    <row r="78" ht="34" spans="1:8">
      <c r="A78" s="9" t="s">
        <v>318</v>
      </c>
      <c r="B78" s="4" t="s">
        <v>319</v>
      </c>
      <c r="C78" s="4" t="s">
        <v>320</v>
      </c>
      <c r="D78" s="10" t="s">
        <v>11</v>
      </c>
      <c r="E78" s="11" t="s">
        <v>362</v>
      </c>
      <c r="F78" s="5" t="s">
        <v>362</v>
      </c>
      <c r="G78" s="5" t="s">
        <v>362</v>
      </c>
      <c r="H78" s="5" t="s">
        <v>362</v>
      </c>
    </row>
    <row r="79" ht="34" spans="1:8">
      <c r="A79" s="9" t="s">
        <v>322</v>
      </c>
      <c r="B79" s="4" t="s">
        <v>323</v>
      </c>
      <c r="C79" s="4" t="s">
        <v>324</v>
      </c>
      <c r="D79" s="10" t="s">
        <v>11</v>
      </c>
      <c r="E79" s="11" t="s">
        <v>362</v>
      </c>
      <c r="F79" s="5" t="s">
        <v>362</v>
      </c>
      <c r="G79" s="5" t="s">
        <v>362</v>
      </c>
      <c r="H79" s="5" t="s">
        <v>362</v>
      </c>
    </row>
    <row r="80" ht="118" spans="1:8">
      <c r="A80" s="9" t="s">
        <v>327</v>
      </c>
      <c r="B80" s="4" t="s">
        <v>328</v>
      </c>
      <c r="C80" s="4" t="s">
        <v>363</v>
      </c>
      <c r="D80" s="12" t="s">
        <v>20</v>
      </c>
      <c r="E80" s="11" t="s">
        <v>362</v>
      </c>
      <c r="F80" s="5" t="s">
        <v>362</v>
      </c>
      <c r="G80" s="5" t="s">
        <v>362</v>
      </c>
      <c r="H80" s="5" t="s">
        <v>362</v>
      </c>
    </row>
    <row r="81" ht="34" spans="1:8">
      <c r="A81" s="9" t="s">
        <v>331</v>
      </c>
      <c r="B81" s="4" t="s">
        <v>332</v>
      </c>
      <c r="C81" s="4" t="s">
        <v>333</v>
      </c>
      <c r="D81" s="10" t="s">
        <v>11</v>
      </c>
      <c r="E81" s="11" t="s">
        <v>362</v>
      </c>
      <c r="F81" s="5" t="s">
        <v>362</v>
      </c>
      <c r="G81" s="5" t="s">
        <v>362</v>
      </c>
      <c r="H81" s="5" t="s">
        <v>362</v>
      </c>
    </row>
    <row r="82" ht="34" spans="1:8">
      <c r="A82" s="9" t="s">
        <v>335</v>
      </c>
      <c r="B82" s="4" t="s">
        <v>336</v>
      </c>
      <c r="C82" s="4" t="s">
        <v>337</v>
      </c>
      <c r="D82" s="13" t="s">
        <v>25</v>
      </c>
      <c r="E82" s="11" t="s">
        <v>362</v>
      </c>
      <c r="F82" s="5" t="s">
        <v>362</v>
      </c>
      <c r="G82" s="5" t="s">
        <v>362</v>
      </c>
      <c r="H82" s="5" t="s">
        <v>362</v>
      </c>
    </row>
    <row r="83" ht="34" spans="1:8">
      <c r="A83" s="9" t="s">
        <v>339</v>
      </c>
      <c r="B83" s="4" t="s">
        <v>340</v>
      </c>
      <c r="C83" s="4" t="s">
        <v>341</v>
      </c>
      <c r="D83" s="10" t="s">
        <v>11</v>
      </c>
      <c r="E83" s="11" t="s">
        <v>362</v>
      </c>
      <c r="F83" s="5" t="s">
        <v>362</v>
      </c>
      <c r="G83" s="5" t="s">
        <v>362</v>
      </c>
      <c r="H83" s="5" t="s">
        <v>362</v>
      </c>
    </row>
    <row r="84" ht="34" spans="1:8">
      <c r="A84" s="9" t="s">
        <v>343</v>
      </c>
      <c r="B84" s="4" t="s">
        <v>344</v>
      </c>
      <c r="C84" s="4" t="s">
        <v>345</v>
      </c>
      <c r="D84" s="10" t="s">
        <v>11</v>
      </c>
      <c r="E84" s="11" t="s">
        <v>362</v>
      </c>
      <c r="F84" s="5" t="s">
        <v>362</v>
      </c>
      <c r="G84" s="5" t="s">
        <v>362</v>
      </c>
      <c r="H84" s="5" t="s">
        <v>362</v>
      </c>
    </row>
    <row r="85" ht="34" spans="1:8">
      <c r="A85" s="9" t="s">
        <v>347</v>
      </c>
      <c r="B85" s="4" t="s">
        <v>348</v>
      </c>
      <c r="C85" s="4" t="s">
        <v>349</v>
      </c>
      <c r="D85" s="10" t="s">
        <v>11</v>
      </c>
      <c r="E85" s="11" t="s">
        <v>362</v>
      </c>
      <c r="F85" s="5" t="s">
        <v>362</v>
      </c>
      <c r="G85" s="5" t="s">
        <v>362</v>
      </c>
      <c r="H85" s="5" t="s">
        <v>362</v>
      </c>
    </row>
    <row r="86" ht="34" spans="1:8">
      <c r="A86" s="9" t="s">
        <v>351</v>
      </c>
      <c r="B86" s="4" t="s">
        <v>352</v>
      </c>
      <c r="C86" s="4" t="s">
        <v>353</v>
      </c>
      <c r="D86" s="12" t="s">
        <v>20</v>
      </c>
      <c r="E86" s="11" t="s">
        <v>362</v>
      </c>
      <c r="F86" s="5" t="s">
        <v>362</v>
      </c>
      <c r="G86" s="5" t="s">
        <v>362</v>
      </c>
      <c r="H86" s="5" t="s">
        <v>362</v>
      </c>
    </row>
  </sheetData>
  <mergeCells count="1">
    <mergeCell ref="A1:H1"/>
  </mergeCells>
  <dataValidations count="1">
    <dataValidation type="list" allowBlank="1" sqref="E3:E86">
      <formula1>"未填写,满足,优于,负偏离,不适用"</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9"/>
  <sheetViews>
    <sheetView workbookViewId="0">
      <selection activeCell="A1" sqref="A1"/>
    </sheetView>
  </sheetViews>
  <sheetFormatPr defaultColWidth="9" defaultRowHeight="16.8" outlineLevelCol="4"/>
  <cols>
    <col min="1" max="1" width="22" customWidth="1"/>
    <col min="2" max="2" width="10" customWidth="1"/>
    <col min="4" max="4" width="12" customWidth="1"/>
    <col min="5" max="5" width="44" customWidth="1"/>
  </cols>
  <sheetData>
    <row r="1" ht="19.2" spans="1:5">
      <c r="A1" s="1" t="s">
        <v>364</v>
      </c>
    </row>
    <row r="2" spans="1:5">
      <c r="A2" s="2" t="s">
        <v>365</v>
      </c>
    </row>
    <row r="4" ht="17" spans="1:5">
      <c r="A4" s="3" t="s">
        <v>366</v>
      </c>
      <c r="B4" s="3" t="s">
        <v>367</v>
      </c>
      <c r="C4" s="3" t="s">
        <v>362</v>
      </c>
      <c r="D4" s="3" t="s">
        <v>358</v>
      </c>
      <c r="E4" s="3" t="s">
        <v>368</v>
      </c>
    </row>
    <row r="5" spans="1:5">
      <c r="A5" t="s">
        <v>369</v>
      </c>
      <c r="B5">
        <f>COUNTA(投标响应表!A3:A86)</f>
        <v>84</v>
      </c>
      <c r="C5" t="s">
        <v>362</v>
      </c>
      <c r="D5" t="s">
        <v>370</v>
      </c>
      <c r="E5" t="s">
        <v>371</v>
      </c>
    </row>
    <row r="6" spans="1:5">
      <c r="A6" t="s">
        <v>372</v>
      </c>
      <c r="B6">
        <f>COUNTIF(投标响应表!$D$3:$D$86,"★")</f>
        <v>14</v>
      </c>
      <c r="C6" t="s">
        <v>362</v>
      </c>
      <c r="D6" t="s">
        <v>373</v>
      </c>
      <c r="E6" t="s">
        <v>374</v>
      </c>
    </row>
    <row r="7" spans="1:5">
      <c r="A7" t="s">
        <v>375</v>
      </c>
      <c r="B7">
        <f>COUNTIF(投标响应表!$D$3:$D$86,"▲")</f>
        <v>25</v>
      </c>
      <c r="C7" t="s">
        <v>362</v>
      </c>
      <c r="D7" t="s">
        <v>376</v>
      </c>
      <c r="E7" t="s">
        <v>377</v>
      </c>
    </row>
    <row r="8" spans="1:5">
      <c r="A8" t="s">
        <v>378</v>
      </c>
      <c r="B8">
        <f>COUNTIF(投标响应表!$D$3:$D$86,"一般")</f>
        <v>45</v>
      </c>
      <c r="C8" t="s">
        <v>362</v>
      </c>
      <c r="D8" t="s">
        <v>379</v>
      </c>
      <c r="E8" t="s">
        <v>380</v>
      </c>
    </row>
    <row r="9" spans="1:5">
      <c r="A9" t="s">
        <v>381</v>
      </c>
      <c r="B9">
        <f>COUNTA(投标响应表!E3:E86)</f>
        <v>84</v>
      </c>
      <c r="C9" t="s">
        <v>362</v>
      </c>
      <c r="D9" t="s">
        <v>382</v>
      </c>
      <c r="E9" t="s">
        <v>383</v>
      </c>
    </row>
    <row r="10" spans="1:5">
      <c r="A10" t="s">
        <v>379</v>
      </c>
      <c r="B10">
        <f>COUNTIF(投标响应表!$E$3:$E$86,"负偏离")</f>
        <v>0</v>
      </c>
      <c r="C10" t="s">
        <v>362</v>
      </c>
      <c r="D10" t="s">
        <v>362</v>
      </c>
      <c r="E10" t="s">
        <v>362</v>
      </c>
    </row>
    <row r="12" ht="17.6" spans="1:5">
      <c r="A12" s="6" t="s">
        <v>384</v>
      </c>
    </row>
    <row r="13" ht="51" spans="1:5">
      <c r="A13" s="7" t="s">
        <v>385</v>
      </c>
    </row>
    <row r="14" ht="68" spans="1:5">
      <c r="A14" s="7" t="s">
        <v>386</v>
      </c>
    </row>
    <row r="15" ht="68" spans="1:5">
      <c r="A15" s="7" t="s">
        <v>387</v>
      </c>
    </row>
    <row r="16" ht="135" spans="1:5">
      <c r="A16" s="7" t="s">
        <v>388</v>
      </c>
    </row>
    <row r="17" ht="68" spans="1:1">
      <c r="A17" s="7" t="s">
        <v>389</v>
      </c>
    </row>
    <row r="18" ht="135" spans="1:1">
      <c r="A18" s="7" t="s">
        <v>390</v>
      </c>
    </row>
    <row r="19" ht="84" spans="1:1">
      <c r="A19" s="7" t="s">
        <v>391</v>
      </c>
    </row>
  </sheetData>
  <mergeCells count="1">
    <mergeCell ref="A2:E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
  <sheetViews>
    <sheetView workbookViewId="0">
      <selection activeCell="A1" sqref="A1"/>
    </sheetView>
  </sheetViews>
  <sheetFormatPr defaultColWidth="9" defaultRowHeight="16.8" outlineLevelCol="5"/>
  <cols>
    <col min="1" max="1" width="6" customWidth="1"/>
    <col min="2" max="2" width="12" customWidth="1"/>
    <col min="3" max="3" width="10" customWidth="1"/>
    <col min="4" max="4" width="16" customWidth="1"/>
    <col min="5" max="5" width="48" customWidth="1"/>
    <col min="6" max="6" width="52" customWidth="1"/>
  </cols>
  <sheetData>
    <row r="1" ht="19.2" spans="1:6">
      <c r="A1" s="1" t="s">
        <v>392</v>
      </c>
      <c r="B1" t="s">
        <v>362</v>
      </c>
      <c r="C1" t="s">
        <v>362</v>
      </c>
      <c r="D1" t="s">
        <v>362</v>
      </c>
      <c r="E1" t="s">
        <v>362</v>
      </c>
      <c r="F1" t="s">
        <v>362</v>
      </c>
    </row>
    <row r="2" spans="1:6">
      <c r="A2" s="2" t="s">
        <v>393</v>
      </c>
    </row>
    <row r="4" ht="17" spans="1:6">
      <c r="A4" s="3" t="s">
        <v>2</v>
      </c>
      <c r="B4" s="3" t="s">
        <v>394</v>
      </c>
      <c r="C4" s="3" t="s">
        <v>395</v>
      </c>
      <c r="D4" s="3" t="s">
        <v>396</v>
      </c>
      <c r="E4" s="3" t="s">
        <v>397</v>
      </c>
      <c r="F4" s="3" t="s">
        <v>398</v>
      </c>
    </row>
    <row r="5" ht="34" spans="1:6">
      <c r="A5" s="4">
        <v>1</v>
      </c>
      <c r="B5" s="4" t="s">
        <v>399</v>
      </c>
      <c r="C5" s="4" t="s">
        <v>400</v>
      </c>
      <c r="D5" s="4" t="s">
        <v>401</v>
      </c>
      <c r="E5" s="4" t="s">
        <v>402</v>
      </c>
      <c r="F5" s="4" t="s">
        <v>403</v>
      </c>
    </row>
    <row r="6" ht="34" spans="1:6">
      <c r="A6" s="4">
        <v>2</v>
      </c>
      <c r="B6" s="4" t="s">
        <v>404</v>
      </c>
      <c r="C6" s="4" t="s">
        <v>400</v>
      </c>
      <c r="D6" s="4" t="s">
        <v>405</v>
      </c>
      <c r="E6" s="4" t="s">
        <v>406</v>
      </c>
      <c r="F6" s="4" t="s">
        <v>407</v>
      </c>
    </row>
    <row r="7" ht="51" spans="1:6">
      <c r="A7" s="4">
        <v>3</v>
      </c>
      <c r="B7" s="4" t="s">
        <v>408</v>
      </c>
      <c r="C7" s="4" t="s">
        <v>409</v>
      </c>
      <c r="D7" s="4" t="s">
        <v>410</v>
      </c>
      <c r="E7" s="4" t="s">
        <v>411</v>
      </c>
      <c r="F7" s="4" t="s">
        <v>412</v>
      </c>
    </row>
    <row r="8" ht="34" spans="1:6">
      <c r="A8" s="4">
        <v>4</v>
      </c>
      <c r="B8" s="4" t="s">
        <v>413</v>
      </c>
      <c r="C8" s="4" t="s">
        <v>400</v>
      </c>
      <c r="D8" s="4" t="s">
        <v>414</v>
      </c>
      <c r="E8" s="4" t="s">
        <v>415</v>
      </c>
      <c r="F8" s="4" t="s">
        <v>416</v>
      </c>
    </row>
    <row r="9" ht="34" spans="1:6">
      <c r="A9" s="4">
        <v>5</v>
      </c>
      <c r="B9" s="4" t="s">
        <v>417</v>
      </c>
      <c r="C9" s="4" t="s">
        <v>418</v>
      </c>
      <c r="D9" s="4" t="s">
        <v>405</v>
      </c>
      <c r="E9" s="4" t="s">
        <v>419</v>
      </c>
      <c r="F9" s="4" t="s">
        <v>420</v>
      </c>
    </row>
    <row r="10" ht="34" spans="1:6">
      <c r="A10" s="4">
        <v>6</v>
      </c>
      <c r="B10" s="4" t="s">
        <v>421</v>
      </c>
      <c r="C10" s="4" t="s">
        <v>422</v>
      </c>
      <c r="D10" s="4" t="s">
        <v>405</v>
      </c>
      <c r="E10" s="4" t="s">
        <v>423</v>
      </c>
      <c r="F10" s="4" t="s">
        <v>424</v>
      </c>
    </row>
  </sheetData>
  <mergeCells count="1">
    <mergeCell ref="A2:F2"/>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4"/>
  <sheetViews>
    <sheetView workbookViewId="0">
      <selection activeCell="A1" sqref="A1"/>
    </sheetView>
  </sheetViews>
  <sheetFormatPr defaultColWidth="9" defaultRowHeight="16.8" outlineLevelCol="4"/>
  <cols>
    <col min="1" max="1" width="7" customWidth="1"/>
    <col min="2" max="2" width="12" customWidth="1"/>
    <col min="3" max="3" width="62" customWidth="1"/>
    <col min="4" max="4" width="22" customWidth="1"/>
    <col min="5" max="5" width="34" customWidth="1"/>
  </cols>
  <sheetData>
    <row r="1" ht="19.2" spans="1:5">
      <c r="A1" s="1" t="s">
        <v>425</v>
      </c>
      <c r="B1" t="s">
        <v>362</v>
      </c>
      <c r="C1" t="s">
        <v>362</v>
      </c>
      <c r="D1" t="s">
        <v>362</v>
      </c>
      <c r="E1" t="s">
        <v>362</v>
      </c>
    </row>
    <row r="2" spans="1:5">
      <c r="A2" s="2" t="s">
        <v>426</v>
      </c>
    </row>
    <row r="4" ht="17" spans="1:5">
      <c r="A4" s="3" t="s">
        <v>427</v>
      </c>
      <c r="B4" s="3" t="s">
        <v>428</v>
      </c>
      <c r="C4" s="3" t="s">
        <v>429</v>
      </c>
      <c r="D4" s="3" t="s">
        <v>430</v>
      </c>
      <c r="E4" s="3" t="s">
        <v>431</v>
      </c>
    </row>
    <row r="5" ht="34" spans="1:5">
      <c r="A5" s="4" t="s">
        <v>432</v>
      </c>
      <c r="B5" s="4" t="s">
        <v>433</v>
      </c>
      <c r="C5" s="4" t="s">
        <v>434</v>
      </c>
      <c r="D5" s="5" t="s">
        <v>362</v>
      </c>
      <c r="E5" s="4" t="s">
        <v>435</v>
      </c>
    </row>
    <row r="6" ht="34" spans="1:5">
      <c r="A6" s="4" t="s">
        <v>436</v>
      </c>
      <c r="B6" s="4" t="s">
        <v>437</v>
      </c>
      <c r="C6" s="4" t="s">
        <v>438</v>
      </c>
      <c r="D6" s="5" t="s">
        <v>362</v>
      </c>
      <c r="E6" s="4" t="s">
        <v>439</v>
      </c>
    </row>
    <row r="7" ht="34" spans="1:5">
      <c r="A7" s="4" t="s">
        <v>440</v>
      </c>
      <c r="B7" s="4" t="s">
        <v>441</v>
      </c>
      <c r="C7" s="4" t="s">
        <v>442</v>
      </c>
      <c r="D7" s="5" t="s">
        <v>362</v>
      </c>
      <c r="E7" s="4" t="s">
        <v>443</v>
      </c>
    </row>
    <row r="8" ht="34" spans="1:5">
      <c r="A8" s="4" t="s">
        <v>444</v>
      </c>
      <c r="B8" s="4" t="s">
        <v>445</v>
      </c>
      <c r="C8" s="4" t="s">
        <v>446</v>
      </c>
      <c r="D8" s="5" t="s">
        <v>362</v>
      </c>
      <c r="E8" s="4" t="s">
        <v>362</v>
      </c>
    </row>
    <row r="9" ht="34" spans="1:5">
      <c r="A9" s="4" t="s">
        <v>447</v>
      </c>
      <c r="B9" s="4" t="s">
        <v>448</v>
      </c>
      <c r="C9" s="4" t="s">
        <v>449</v>
      </c>
      <c r="D9" s="5" t="s">
        <v>362</v>
      </c>
      <c r="E9" s="4" t="s">
        <v>362</v>
      </c>
    </row>
    <row r="10" ht="34" spans="1:5">
      <c r="A10" s="4" t="s">
        <v>450</v>
      </c>
      <c r="B10" s="4" t="s">
        <v>451</v>
      </c>
      <c r="C10" s="4" t="s">
        <v>452</v>
      </c>
      <c r="D10" s="5" t="s">
        <v>362</v>
      </c>
      <c r="E10" s="4" t="s">
        <v>362</v>
      </c>
    </row>
    <row r="11" ht="34" spans="1:5">
      <c r="A11" s="4" t="s">
        <v>453</v>
      </c>
      <c r="B11" s="4" t="s">
        <v>454</v>
      </c>
      <c r="C11" s="4" t="s">
        <v>455</v>
      </c>
      <c r="D11" s="5" t="s">
        <v>362</v>
      </c>
      <c r="E11" s="4" t="s">
        <v>362</v>
      </c>
    </row>
    <row r="12" ht="34" spans="1:5">
      <c r="A12" s="4" t="s">
        <v>456</v>
      </c>
      <c r="B12" s="4" t="s">
        <v>457</v>
      </c>
      <c r="C12" s="4" t="s">
        <v>458</v>
      </c>
      <c r="D12" s="5" t="s">
        <v>362</v>
      </c>
      <c r="E12" s="4" t="s">
        <v>362</v>
      </c>
    </row>
    <row r="13" ht="34" spans="1:5">
      <c r="A13" s="4" t="s">
        <v>459</v>
      </c>
      <c r="B13" s="4" t="s">
        <v>460</v>
      </c>
      <c r="C13" s="4" t="s">
        <v>461</v>
      </c>
      <c r="D13" s="5" t="s">
        <v>362</v>
      </c>
      <c r="E13" s="4" t="s">
        <v>362</v>
      </c>
    </row>
    <row r="14" ht="34" spans="1:5">
      <c r="A14" s="4" t="s">
        <v>462</v>
      </c>
      <c r="B14" s="4" t="s">
        <v>463</v>
      </c>
      <c r="C14" s="4" t="s">
        <v>464</v>
      </c>
      <c r="D14" s="5" t="s">
        <v>362</v>
      </c>
      <c r="E14" s="4" t="s">
        <v>465</v>
      </c>
    </row>
  </sheetData>
  <mergeCells count="1">
    <mergeCell ref="A2:E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招标技术参数表</vt:lpstr>
      <vt:lpstr>投标响应表</vt:lpstr>
      <vt:lpstr>填写说明</vt:lpstr>
      <vt:lpstr>模型接入基线</vt:lpstr>
      <vt:lpstr>待确认参数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☆Over♚lord℡★</cp:lastModifiedBy>
  <dcterms:created xsi:type="dcterms:W3CDTF">2026-08-28T14:11:00Z</dcterms:created>
  <dcterms:modified xsi:type="dcterms:W3CDTF">2026-08-31T19:15:23Z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33A2604EEA05C6328961956A658AEF28_42</vt:lpwstr>
  </property>
  <property fmtid="{D5CDD505-2E9C-101B-9397-08002B2CF9AE}" pid="3" name="KSOProductBuildVer">
    <vt:lpwstr>2052-12.1.25869.25869</vt:lpwstr>
  </property>
  <property fmtid="{D5CDD505-2E9C-101B-9397-08002B2CF9AE}" pid="4" name="CalculationRule">
    <vt:i4>0</vt:i4>
  </property>
</Properties>
</file>